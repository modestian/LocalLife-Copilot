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828" windowWidth="17280" windowHeight="8412" tabRatio="600" firstSheet="0" activeTab="0" autoFilterDateGrouping="1"/>
  </bookViews>
  <sheets>
    <sheet xmlns:r="http://schemas.openxmlformats.org/officeDocument/2006/relationships" name="测试用例清单" sheetId="1" state="visible" r:id="rId1"/>
    <sheet xmlns:r="http://schemas.openxmlformats.org/officeDocument/2006/relationships" name="本次执行结果" sheetId="2" state="visible" r:id="rId2"/>
    <sheet xmlns:r="http://schemas.openxmlformats.org/officeDocument/2006/relationships" name="模块汇总" sheetId="3" state="visible" r:id="rId3"/>
    <sheet xmlns:r="http://schemas.openxmlformats.org/officeDocument/2006/relationships" name="执行说明" sheetId="4" state="visible" r:id="rId4"/>
    <sheet xmlns:r="http://schemas.openxmlformats.org/officeDocument/2006/relationships" name="历史证据" sheetId="5" state="visible" r:id="rId5"/>
  </sheets>
  <definedNames>
    <definedName name="_xlnm.Print_Titles" localSheetId="0">'测试用例清单'!$1:$6</definedName>
    <definedName name="_xlnm.Print_Area" localSheetId="0">'测试用例清单'!$A$1:$P$55</definedName>
    <definedName name="_xlnm._FilterDatabase" localSheetId="1" hidden="1">'本次执行结果'!$A$5:$F$16</definedName>
    <definedName name="_xlnm.Print_Area" localSheetId="2">'模块汇总'!$A$1:$G$13</definedName>
    <definedName name="_xlnm.Print_Area" localSheetId="3">'执行说明'!$A$1:$B$16</definedName>
    <definedName name="_xlnm.Print_Area" localSheetId="4">'历史证据'!$A$1:$F$9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4">
    <font>
      <name val="等线"/>
      <charset val="134"/>
      <family val="2"/>
      <color theme="1"/>
      <sz val="11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b val="1"/>
      <color theme="1"/>
      <sz val="18"/>
    </font>
    <font>
      <name val="宋体"/>
      <charset val="134"/>
      <family val="3"/>
      <b val="1"/>
      <color theme="1"/>
      <sz val="16"/>
    </font>
    <font>
      <name val="宋体"/>
      <charset val="134"/>
      <family val="3"/>
      <b val="1"/>
      <color theme="1"/>
      <sz val="10"/>
    </font>
    <font>
      <name val="宋体"/>
      <charset val="134"/>
      <family val="3"/>
      <b val="1"/>
      <color rgb="FFC00000"/>
      <sz val="10"/>
    </font>
    <font>
      <name val="宋体"/>
      <charset val="134"/>
      <family val="3"/>
      <b val="1"/>
      <color rgb="FFFFFFFF"/>
      <sz val="10"/>
    </font>
    <font>
      <name val="等线"/>
      <charset val="134"/>
      <family val="2"/>
      <sz val="9"/>
      <scheme val="minor"/>
    </font>
    <font>
      <name val="Microsoft YaHei"/>
      <b val="1"/>
      <color rgb="00006100"/>
      <sz val="10"/>
    </font>
    <font>
      <name val="Microsoft YaHei"/>
      <b val="1"/>
      <color rgb="009C6500"/>
      <sz val="10"/>
    </font>
    <font>
      <name val="Microsoft YaHei"/>
      <b val="1"/>
      <color rgb="00FFFFFF"/>
      <sz val="18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1F4E78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vertical="top" wrapText="1"/>
    </xf>
    <xf numFmtId="0" fontId="6" fillId="3" borderId="4" applyAlignment="1" pivotButton="0" quotePrefix="0" xfId="0">
      <alignment horizontal="center" vertical="top" wrapText="1"/>
    </xf>
    <xf numFmtId="0" fontId="6" fillId="3" borderId="5" applyAlignment="1" pivotButton="0" quotePrefix="0" xfId="0">
      <alignment horizontal="center" vertical="top" wrapText="1"/>
    </xf>
    <xf numFmtId="0" fontId="6" fillId="3" borderId="6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top" wrapText="1"/>
    </xf>
    <xf numFmtId="0" fontId="1" fillId="0" borderId="8" applyAlignment="1" pivotButton="0" quotePrefix="0" xfId="0">
      <alignment horizontal="center" vertical="top" wrapText="1"/>
    </xf>
    <xf numFmtId="0" fontId="1" fillId="0" borderId="8" applyAlignment="1" pivotButton="0" quotePrefix="0" xfId="0">
      <alignment vertical="top" wrapText="1"/>
    </xf>
    <xf numFmtId="49" fontId="1" fillId="0" borderId="8" applyAlignment="1" pivotButton="0" quotePrefix="0" xfId="0">
      <alignment horizontal="center" vertical="top" wrapText="1"/>
    </xf>
    <xf numFmtId="0" fontId="1" fillId="0" borderId="9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vertical="center" wrapText="1"/>
    </xf>
    <xf numFmtId="0" fontId="0" fillId="0" borderId="0" pivotButton="0" quotePrefix="0" xfId="0"/>
    <xf numFmtId="0" fontId="8" fillId="4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8" fillId="4" borderId="8" applyAlignment="1" pivotButton="0" quotePrefix="0" xfId="0">
      <alignment horizontal="center" vertical="top" wrapText="1"/>
    </xf>
    <xf numFmtId="0" fontId="8" fillId="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vertical="center" wrapText="1"/>
    </xf>
    <xf numFmtId="0" fontId="12" fillId="8" borderId="0" applyAlignment="1" pivotButton="0" quotePrefix="0" xfId="0">
      <alignment vertical="center" wrapText="1"/>
    </xf>
    <xf numFmtId="0" fontId="13" fillId="9" borderId="0" applyAlignment="1" pivotButton="0" quotePrefix="0" xfId="0">
      <alignment horizontal="center" vertical="center"/>
    </xf>
    <xf numFmtId="0" fontId="12" fillId="0" borderId="10" applyAlignment="1" pivotButton="0" quotePrefix="0" xfId="0">
      <alignment vertical="top" wrapText="1"/>
    </xf>
    <xf numFmtId="0" fontId="9" fillId="5" borderId="10" applyAlignment="1" pivotButton="0" quotePrefix="0" xfId="0">
      <alignment vertical="top" wrapText="1"/>
    </xf>
    <xf numFmtId="0" fontId="8" fillId="4" borderId="10" applyAlignment="1" pivotButton="0" quotePrefix="0" xfId="0">
      <alignment vertical="top" wrapText="1"/>
    </xf>
    <xf numFmtId="164" fontId="1" fillId="0" borderId="1" applyAlignment="1" pivotButton="0" quotePrefix="0" xfId="0">
      <alignment vertical="center" wrapText="1"/>
    </xf>
  </cellXfs>
  <cellStyles count="1">
    <cellStyle name="常规" xfId="0" builtinId="0"/>
  </cellStyles>
  <dxfs count="20">
    <dxf>
      <font>
        <name val="宋体"/>
        <charset val="134"/>
        <family val="3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404040"/>
        </patternFill>
      </fill>
      <alignment horizontal="center" vertical="top" wrapText="1"/>
      <border outline="0">
        <left style="thin">
          <color rgb="FFCCCCCC"/>
        </left>
        <right style="thin">
          <color rgb="FFCCCCCC"/>
        </right>
        <top/>
        <bottom/>
      </border>
    </dxf>
    <dxf>
      <font>
        <name val="宋体"/>
        <charset val="134"/>
        <family val="3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  <alignment horizontal="general" vertical="top" wrapText="1"/>
      <border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name val="宋体"/>
        <charset val="134"/>
        <family val="3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top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宋体"/>
        <charset val="134"/>
        <family val="3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  <alignment horizontal="center" vertical="top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宋体"/>
        <charset val="134"/>
        <family val="3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  <alignment horizontal="general" vertical="top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宋体"/>
        <charset val="134"/>
        <family val="3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  <alignment horizontal="general" vertical="top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宋体"/>
        <charset val="134"/>
        <family val="3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  <alignment horizontal="general" vertical="top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宋体"/>
        <charset val="134"/>
        <family val="3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  <alignment horizontal="general" vertical="top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宋体"/>
        <charset val="134"/>
        <family val="3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  <alignment horizontal="general" vertical="top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宋体"/>
        <charset val="134"/>
        <family val="3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  <alignment horizontal="general" vertical="top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宋体"/>
        <charset val="134"/>
        <family val="3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  <alignment horizontal="general" vertical="top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宋体"/>
        <charset val="134"/>
        <family val="3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  <alignment horizontal="center" vertical="top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宋体"/>
        <charset val="134"/>
        <family val="3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  <alignment horizontal="center" vertical="top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宋体"/>
        <charset val="134"/>
        <family val="3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  <alignment horizontal="center" vertical="top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宋体"/>
        <charset val="134"/>
        <family val="3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  <alignment horizontal="center" vertical="top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宋体"/>
        <charset val="134"/>
        <family val="3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  <alignment horizontal="center" vertical="top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宋体"/>
        <charset val="134"/>
        <family val="3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  <alignment horizontal="center" vertical="top" wrapText="1"/>
      <border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estCaseTable" displayName="TestCaseTable" ref="A6:P52" headerRowCount="1" totalsRowShown="0" headerRowDxfId="0" headerRowBorderDxfId="18" tableBorderDxfId="19" totalsRowBorderDxfId="17">
  <autoFilter ref="A6:P52"/>
  <tableColumns count="16">
    <tableColumn id="1" name="用例ID" dataDxfId="16"/>
    <tableColumn id="2" name="Epic" dataDxfId="15"/>
    <tableColumn id="3" name="Story" dataDxfId="14"/>
    <tableColumn id="4" name="模块" dataDxfId="13"/>
    <tableColumn id="5" name="优先级" dataDxfId="12"/>
    <tableColumn id="6" name="测试类型" dataDxfId="11"/>
    <tableColumn id="7" name="前置条件" dataDxfId="10"/>
    <tableColumn id="8" name="测试需求" dataDxfId="9"/>
    <tableColumn id="9" name="测试步骤/重点" dataDxfId="8"/>
    <tableColumn id="10" name="预期结果" dataDxfId="7"/>
    <tableColumn id="11" name="自动化状态" dataDxfId="6"/>
    <tableColumn id="12" name="现有测试证据" dataDxfId="5"/>
    <tableColumn id="13" name="新增测试代码" dataDxfId="4"/>
    <tableColumn id="14" name="执行结果" dataDxfId="3"/>
    <tableColumn id="15" name="缺陷编号" dataDxfId="2"/>
    <tableColumn id="16" name="备注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5"/>
  <sheetViews>
    <sheetView tabSelected="1" workbookViewId="0">
      <pane xSplit="2" ySplit="6" topLeftCell="C7" activePane="bottomRight" state="frozenSplit"/>
      <selection pane="bottomLeft" activeCell="A7" sqref="A7"/>
      <selection pane="topRight" activeCell="C1" sqref="C1"/>
      <selection pane="bottomRight" activeCell="A1" sqref="A1:J1"/>
    </sheetView>
  </sheetViews>
  <sheetFormatPr baseColWidth="8" defaultRowHeight="12"/>
  <cols>
    <col width="12.77734375" customWidth="1" style="2" min="1" max="1"/>
    <col width="9.77734375" customWidth="1" style="2" min="2" max="2"/>
    <col width="10.77734375" customWidth="1" style="2" min="3" max="3"/>
    <col width="22.77734375" customWidth="1" style="2" min="4" max="4"/>
    <col width="9.77734375" customWidth="1" style="2" min="5" max="5"/>
    <col width="13.77734375" customWidth="1" style="2" min="6" max="6"/>
    <col width="34.77734375" customWidth="1" style="2" min="7" max="7"/>
    <col width="28.77734375" customWidth="1" style="2" min="8" max="8"/>
    <col width="52.77734375" customWidth="1" style="2" min="9" max="10"/>
    <col width="24.77734375" customWidth="1" style="2" min="11" max="11"/>
    <col width="54.77734375" customWidth="1" style="2" min="12" max="12"/>
    <col width="42.77734375" customWidth="1" style="2" min="13" max="13"/>
    <col width="13.77734375" customWidth="1" style="2" min="14" max="14"/>
    <col width="15.77734375" customWidth="1" style="2" min="15" max="15"/>
    <col width="28.77734375" customWidth="1" style="2" min="16" max="16"/>
    <col width="8.88671875" customWidth="1" style="2" min="17" max="16384"/>
  </cols>
  <sheetData>
    <row r="1" ht="31.95" customHeight="1" s="29">
      <c r="A1" s="3" t="inlineStr">
        <is>
          <t>LocalLife Copilot 测试用例清单</t>
        </is>
      </c>
      <c r="K1" s="5" t="inlineStr">
        <is>
          <t>LocalLife Copilot 测试用例清单（2026-07-26 实际执行版）</t>
        </is>
      </c>
    </row>
    <row r="2">
      <c r="A2" s="10" t="inlineStr">
        <is>
          <t>基于当前工作区、17个 Story 与项目原生自动化资产执行；本次结果：48通过、1阻塞（MODEL-04实际训练产物）。</t>
        </is>
      </c>
      <c r="K2" s="10" t="inlineStr">
        <is>
          <t>自动化证据、测试代码、执行结果、缺陷与备注</t>
        </is>
      </c>
    </row>
    <row r="3">
      <c r="A3" s="6" t="inlineStr">
        <is>
          <t>用例总数</t>
        </is>
      </c>
      <c r="B3" s="6">
        <f>COUNTA(A7:A55)</f>
        <v/>
      </c>
      <c r="C3" s="6" t="n"/>
      <c r="D3" s="6" t="inlineStr">
        <is>
          <t>P0 数量</t>
        </is>
      </c>
      <c r="E3" s="6">
        <f>COUNTIF(E7:E55,"P0")</f>
        <v/>
      </c>
      <c r="F3" s="6" t="n"/>
      <c r="G3" s="6" t="inlineStr">
        <is>
          <t>P1 数量</t>
        </is>
      </c>
      <c r="H3" s="6">
        <f>COUNTIF(E7:E55,"P1")</f>
        <v/>
      </c>
      <c r="I3" s="6" t="n"/>
      <c r="J3" s="6" t="inlineStr">
        <is>
          <t>已通过</t>
        </is>
      </c>
      <c r="K3" s="6">
        <f>COUNTIF(N7:N55,"通过")</f>
        <v/>
      </c>
      <c r="L3" s="6" t="n"/>
      <c r="M3" s="6" t="inlineStr">
        <is>
          <t>阻断/失败</t>
        </is>
      </c>
      <c r="N3" s="6">
        <f>COUNTIF(N7:N55,"失败")+COUNTIF(N7:N55,"阻塞")</f>
        <v/>
      </c>
    </row>
    <row r="4">
      <c r="A4" s="7" t="inlineStr">
        <is>
          <t>历史报告仅作为既有证据；最终签署必须绑定发布候选 Commit，并补齐真实性能样本。</t>
        </is>
      </c>
      <c r="K4" s="7" t="inlineStr">
        <is>
          <t>执行结果由测试人员回填；失败/阻塞必须关联缺陷与证据。</t>
        </is>
      </c>
    </row>
    <row r="5"/>
    <row r="6" ht="30" customHeight="1" s="29">
      <c r="A6" s="14" t="inlineStr">
        <is>
          <t>用例ID</t>
        </is>
      </c>
      <c r="B6" s="15" t="inlineStr">
        <is>
          <t>Epic</t>
        </is>
      </c>
      <c r="C6" s="15" t="inlineStr">
        <is>
          <t>Story</t>
        </is>
      </c>
      <c r="D6" s="15" t="inlineStr">
        <is>
          <t>模块</t>
        </is>
      </c>
      <c r="E6" s="15" t="inlineStr">
        <is>
          <t>优先级</t>
        </is>
      </c>
      <c r="F6" s="15" t="inlineStr">
        <is>
          <t>测试类型</t>
        </is>
      </c>
      <c r="G6" s="15" t="inlineStr">
        <is>
          <t>前置条件</t>
        </is>
      </c>
      <c r="H6" s="15" t="inlineStr">
        <is>
          <t>测试需求</t>
        </is>
      </c>
      <c r="I6" s="15" t="inlineStr">
        <is>
          <t>测试步骤/重点</t>
        </is>
      </c>
      <c r="J6" s="15" t="inlineStr">
        <is>
          <t>预期结果</t>
        </is>
      </c>
      <c r="K6" s="15" t="inlineStr">
        <is>
          <t>自动化状态</t>
        </is>
      </c>
      <c r="L6" s="15" t="inlineStr">
        <is>
          <t>现有测试证据</t>
        </is>
      </c>
      <c r="M6" s="15" t="inlineStr">
        <is>
          <t>新增测试代码</t>
        </is>
      </c>
      <c r="N6" s="15" t="inlineStr">
        <is>
          <t>执行结果</t>
        </is>
      </c>
      <c r="O6" s="15" t="inlineStr">
        <is>
          <t>缺陷编号</t>
        </is>
      </c>
      <c r="P6" s="16" t="inlineStr">
        <is>
          <t>备注</t>
        </is>
      </c>
    </row>
    <row r="7" ht="96" customHeight="1" s="29">
      <c r="A7" s="12" t="inlineStr">
        <is>
          <t>AUTH-01</t>
        </is>
      </c>
      <c r="B7" s="9" t="inlineStr">
        <is>
          <t>EP-01</t>
        </is>
      </c>
      <c r="C7" s="9" t="inlineStr">
        <is>
          <t>ST-101</t>
        </is>
      </c>
      <c r="D7" s="9" t="inlineStr">
        <is>
          <t>认证、治理与资源权限</t>
        </is>
      </c>
      <c r="E7" s="9" t="inlineStr">
        <is>
          <t>P0</t>
        </is>
      </c>
      <c r="F7" s="9" t="inlineStr">
        <is>
          <t>功能/集成</t>
        </is>
      </c>
      <c r="G7" s="8" t="inlineStr">
        <is>
          <t>API 已启动；准备普通用户、商家与管理角色账号；MySQL/Redis 可用</t>
        </is>
      </c>
      <c r="H7" s="8" t="inlineStr">
        <is>
          <t>正确账号登录与角色分流</t>
        </is>
      </c>
      <c r="I7" s="8" t="inlineStr">
        <is>
          <t>使用普通用户、商家角色、管理角色分别登录；检查 /api/v1/auth/login、/users/me 及前端工作台跳转。</t>
        </is>
      </c>
      <c r="J7" s="8" t="inlineStr">
        <is>
          <t>返回 Access/Refresh Token；用户信息含角色与授权范围；进入 /app、/merchant 或 /admin 对应工作台。</t>
        </is>
      </c>
      <c r="K7" s="8" t="inlineStr">
        <is>
          <t>已执行自动化验证</t>
        </is>
      </c>
      <c r="L7" s="8" t="inlineStr">
        <is>
          <t>backend/tests/test_auth.py；test_authorization.py；test_login_rate_limit.py；frontend/src/router、stores/auth 测试</t>
        </is>
      </c>
      <c r="M7" s="8" t="inlineStr">
        <is>
          <t>test_code/test_release_candidate_smoke.py</t>
        </is>
      </c>
      <c r="N7" s="30" t="inlineStr">
        <is>
          <t>通过</t>
        </is>
      </c>
      <c r="O7" s="11" t="n"/>
      <c r="P7" s="13" t="inlineStr">
        <is>
          <t>AUTH 分组、黑盒冒烟及 MySQL 认证/授权集成均通过；见 functional/01~02、acceptance/03、full-validation/05。</t>
        </is>
      </c>
    </row>
    <row r="8" ht="96" customHeight="1" s="29">
      <c r="A8" s="12" t="inlineStr">
        <is>
          <t>AUTH-02</t>
        </is>
      </c>
      <c r="B8" s="9" t="inlineStr">
        <is>
          <t>EP-01</t>
        </is>
      </c>
      <c r="C8" s="9" t="inlineStr">
        <is>
          <t>ST-101</t>
        </is>
      </c>
      <c r="D8" s="9" t="inlineStr">
        <is>
          <t>认证、治理与资源权限</t>
        </is>
      </c>
      <c r="E8" s="9" t="inlineStr">
        <is>
          <t>P0</t>
        </is>
      </c>
      <c r="F8" s="9" t="inlineStr">
        <is>
          <t>安全/异常</t>
        </is>
      </c>
      <c r="G8" s="8" t="inlineStr">
        <is>
          <t>API 已启动；准备普通用户、商家与管理角色账号；MySQL/Redis 可用</t>
        </is>
      </c>
      <c r="H8" s="8" t="inlineStr">
        <is>
          <t>错误凭据与账号信息保护</t>
        </is>
      </c>
      <c r="I8" s="8" t="inlineStr">
        <is>
          <t>提交错误密码、未知账号和空字段；检查统一错误契约与日志。</t>
        </is>
      </c>
      <c r="J8" s="8" t="inlineStr">
        <is>
          <t>错误凭据返回 401；空字段返回 422；响应和日志不泄露账号是否存在、密码或 Token。</t>
        </is>
      </c>
      <c r="K8" s="8" t="inlineStr">
        <is>
          <t>已执行自动化验证</t>
        </is>
      </c>
      <c r="L8" s="8" t="inlineStr">
        <is>
          <t>backend/tests/test_auth.py；test_authorization.py；test_login_rate_limit.py；frontend/src/router、stores/auth 测试</t>
        </is>
      </c>
      <c r="M8" s="8" t="inlineStr">
        <is>
          <t>test_code/test_release_candidate_smoke.py</t>
        </is>
      </c>
      <c r="N8" s="30" t="inlineStr">
        <is>
          <t>通过</t>
        </is>
      </c>
      <c r="O8" s="11" t="n"/>
      <c r="P8" s="13" t="inlineStr">
        <is>
          <t>AUTH 分组、黑盒冒烟及 MySQL 认证/授权集成均通过；见 functional/01~02、acceptance/03、full-validation/05。</t>
        </is>
      </c>
    </row>
    <row r="9" ht="96" customHeight="1" s="29">
      <c r="A9" s="12" t="inlineStr">
        <is>
          <t>AUTH-03</t>
        </is>
      </c>
      <c r="B9" s="9" t="inlineStr">
        <is>
          <t>EP-01</t>
        </is>
      </c>
      <c r="C9" s="9" t="inlineStr">
        <is>
          <t>ST-101</t>
        </is>
      </c>
      <c r="D9" s="9" t="inlineStr">
        <is>
          <t>认证、治理与资源权限</t>
        </is>
      </c>
      <c r="E9" s="9" t="inlineStr">
        <is>
          <t>P0</t>
        </is>
      </c>
      <c r="F9" s="9" t="inlineStr">
        <is>
          <t>安全/异常</t>
        </is>
      </c>
      <c r="G9" s="8" t="inlineStr">
        <is>
          <t>API 已启动；准备普通用户、商家与管理角色账号；MySQL/Redis 可用</t>
        </is>
      </c>
      <c r="H9" s="8" t="inlineStr">
        <is>
          <t>登录失败限流</t>
        </is>
      </c>
      <c r="I9" s="8" t="inlineStr">
        <is>
          <t>同一规范化账号与客户端 IP 连续失败至阈值并继续请求；随后等待窗口或成功登录。</t>
        </is>
      </c>
      <c r="J9" s="8" t="inlineStr">
        <is>
          <t>达到阈值返回 429、AUTH_RATE_LIMITED 与 Retry-After；键中不存原始账号/IP；窗口后或成功登录可清零。</t>
        </is>
      </c>
      <c r="K9" s="8" t="inlineStr">
        <is>
          <t>已执行自动化验证</t>
        </is>
      </c>
      <c r="L9" s="8" t="inlineStr">
        <is>
          <t>backend/tests/test_auth.py；test_authorization.py；test_login_rate_limit.py；frontend/src/router、stores/auth 测试</t>
        </is>
      </c>
      <c r="M9" s="8" t="inlineStr">
        <is>
          <t>test_code/run_project_test_cases.py（调用项目原生自动化证据）</t>
        </is>
      </c>
      <c r="N9" s="30" t="inlineStr">
        <is>
          <t>通过</t>
        </is>
      </c>
      <c r="O9" s="11" t="n"/>
      <c r="P9" s="13" t="inlineStr">
        <is>
          <t>AUTH 分组、黑盒冒烟及 MySQL 认证/授权集成均通过；见 functional/01~02、acceptance/03、full-validation/05。</t>
        </is>
      </c>
    </row>
    <row r="10" ht="96" customHeight="1" s="29">
      <c r="A10" s="12" t="inlineStr">
        <is>
          <t>AUTH-04</t>
        </is>
      </c>
      <c r="B10" s="9" t="inlineStr">
        <is>
          <t>EP-01</t>
        </is>
      </c>
      <c r="C10" s="9" t="inlineStr">
        <is>
          <t>ST-101</t>
        </is>
      </c>
      <c r="D10" s="9" t="inlineStr">
        <is>
          <t>认证、治理与资源权限</t>
        </is>
      </c>
      <c r="E10" s="9" t="inlineStr">
        <is>
          <t>P0</t>
        </is>
      </c>
      <c r="F10" s="9" t="inlineStr">
        <is>
          <t>安全/异常</t>
        </is>
      </c>
      <c r="G10" s="8" t="inlineStr">
        <is>
          <t>API 已启动；准备普通用户、商家与管理角色账号；MySQL/Redis 可用</t>
        </is>
      </c>
      <c r="H10" s="8" t="inlineStr">
        <is>
          <t>Refresh Token 轮换与重放</t>
        </is>
      </c>
      <c r="I10" s="8" t="inlineStr">
        <is>
          <t>用有效 Refresh Token 刷新，再并发或重复提交旧 Token。</t>
        </is>
      </c>
      <c r="J10" s="8" t="inlineStr">
        <is>
          <t>新令牌对签发；旧 Refresh Token 立即失效；重放返回 401 且不会产生第二个有效会话。</t>
        </is>
      </c>
      <c r="K10" s="8" t="inlineStr">
        <is>
          <t>已执行自动化验证</t>
        </is>
      </c>
      <c r="L10" s="8" t="inlineStr">
        <is>
          <t>backend/tests/test_auth.py；test_authorization.py；test_login_rate_limit.py；frontend/src/router、stores/auth 测试</t>
        </is>
      </c>
      <c r="M10" s="8" t="inlineStr">
        <is>
          <t>test_code/test_release_candidate_smoke.py</t>
        </is>
      </c>
      <c r="N10" s="30" t="inlineStr">
        <is>
          <t>通过</t>
        </is>
      </c>
      <c r="O10" s="11" t="n"/>
      <c r="P10" s="13" t="inlineStr">
        <is>
          <t>AUTH 分组、黑盒冒烟及 MySQL 认证/授权集成均通过；见 functional/01~02、acceptance/03、full-validation/05。</t>
        </is>
      </c>
    </row>
    <row r="11" ht="96" customHeight="1" s="29">
      <c r="A11" s="12" t="inlineStr">
        <is>
          <t>AUTH-05</t>
        </is>
      </c>
      <c r="B11" s="9" t="inlineStr">
        <is>
          <t>EP-01</t>
        </is>
      </c>
      <c r="C11" s="9" t="inlineStr">
        <is>
          <t>ST-101</t>
        </is>
      </c>
      <c r="D11" s="9" t="inlineStr">
        <is>
          <t>认证、治理与资源权限</t>
        </is>
      </c>
      <c r="E11" s="9" t="inlineStr">
        <is>
          <t>P0</t>
        </is>
      </c>
      <c r="F11" s="9" t="inlineStr">
        <is>
          <t>安全/异常</t>
        </is>
      </c>
      <c r="G11" s="8" t="inlineStr">
        <is>
          <t>API 已启动；准备普通用户、商家与管理角色账号；MySQL/Redis 可用</t>
        </is>
      </c>
      <c r="H11" s="8" t="inlineStr">
        <is>
          <t>退出与 Access Token 撤销</t>
        </is>
      </c>
      <c r="I11" s="8" t="inlineStr">
        <is>
          <t>登录后调用 logout，再使用原 Access/Refresh Token 访问受保护接口。</t>
        </is>
      </c>
      <c r="J11" s="8" t="inlineStr">
        <is>
          <t>退出成功；原令牌不可再次使用；撤销记录与审计可追踪。</t>
        </is>
      </c>
      <c r="K11" s="8" t="inlineStr">
        <is>
          <t>已执行自动化验证</t>
        </is>
      </c>
      <c r="L11" s="8" t="inlineStr">
        <is>
          <t>backend/tests/test_auth.py；test_authorization.py；test_login_rate_limit.py；frontend/src/router、stores/auth 测试</t>
        </is>
      </c>
      <c r="M11" s="8" t="inlineStr">
        <is>
          <t>test_code/run_project_test_cases.py（调用项目原生自动化证据）</t>
        </is>
      </c>
      <c r="N11" s="30" t="inlineStr">
        <is>
          <t>通过</t>
        </is>
      </c>
      <c r="O11" s="11" t="n"/>
      <c r="P11" s="13" t="inlineStr">
        <is>
          <t>AUTH 分组、黑盒冒烟及 MySQL 认证/授权集成均通过；见 functional/01~02、acceptance/03、full-validation/05。</t>
        </is>
      </c>
    </row>
    <row r="12" ht="96" customHeight="1" s="29">
      <c r="A12" s="12" t="inlineStr">
        <is>
          <t>AUTH-06</t>
        </is>
      </c>
      <c r="B12" s="9" t="inlineStr">
        <is>
          <t>EP-01</t>
        </is>
      </c>
      <c r="C12" s="9" t="inlineStr">
        <is>
          <t>ST-101</t>
        </is>
      </c>
      <c r="D12" s="9" t="inlineStr">
        <is>
          <t>认证、治理与资源权限</t>
        </is>
      </c>
      <c r="E12" s="9" t="inlineStr">
        <is>
          <t>P0</t>
        </is>
      </c>
      <c r="F12" s="9" t="inlineStr">
        <is>
          <t>安全/异常</t>
        </is>
      </c>
      <c r="G12" s="8" t="inlineStr">
        <is>
          <t>API 已启动；准备普通用户、商家与管理角色账号；MySQL/Redis 可用</t>
        </is>
      </c>
      <c r="H12" s="8" t="inlineStr">
        <is>
          <t>角色与资源横向越权</t>
        </is>
      </c>
      <c r="I12" s="8" t="inlineStr">
        <is>
          <t>普通用户访问管理接口；商家 A 访问商家 B；知识库管理员访问未授权知识库；尝试直接拼接资源 ID。</t>
        </is>
      </c>
      <c r="J12" s="8" t="inlineStr">
        <is>
          <t>角色不足返回 403；不可见资源按契约返回 404/403；Repository 查询同样过滤，响应不泄露目标资源信息。</t>
        </is>
      </c>
      <c r="K12" s="8" t="inlineStr">
        <is>
          <t>已执行自动化验证</t>
        </is>
      </c>
      <c r="L12" s="8" t="inlineStr">
        <is>
          <t>backend/tests/test_auth.py；test_authorization.py；test_login_rate_limit.py；frontend/src/router、stores/auth 测试</t>
        </is>
      </c>
      <c r="M12" s="8" t="inlineStr">
        <is>
          <t>test_code/test_release_candidate_smoke.py</t>
        </is>
      </c>
      <c r="N12" s="30" t="inlineStr">
        <is>
          <t>通过</t>
        </is>
      </c>
      <c r="O12" s="11" t="n"/>
      <c r="P12" s="13" t="inlineStr">
        <is>
          <t>AUTH 分组、黑盒冒烟及 MySQL 认证/授权集成均通过；见 functional/01~02、acceptance/03、full-validation/05。</t>
        </is>
      </c>
    </row>
    <row r="13" ht="96" customHeight="1" s="29">
      <c r="A13" s="12" t="inlineStr">
        <is>
          <t>GOV-01</t>
        </is>
      </c>
      <c r="B13" s="9" t="inlineStr">
        <is>
          <t>EP-01</t>
        </is>
      </c>
      <c r="C13" s="9" t="inlineStr">
        <is>
          <t>ST-103</t>
        </is>
      </c>
      <c r="D13" s="9" t="inlineStr">
        <is>
          <t>认证、治理与资源权限</t>
        </is>
      </c>
      <c r="E13" s="9" t="inlineStr">
        <is>
          <t>P1</t>
        </is>
      </c>
      <c r="F13" s="9" t="inlineStr">
        <is>
          <t>安全/异常</t>
        </is>
      </c>
      <c r="G13" s="8" t="inlineStr">
        <is>
          <t>平台管理员已登录；治理版本、敏感规则、结构化日志和审计存储可用</t>
        </is>
      </c>
      <c r="H13" s="8" t="inlineStr">
        <is>
          <t>配置版本、敏感规则、日志与审计闭环</t>
        </is>
      </c>
      <c r="I13" s="8" t="inlineStr">
        <is>
          <t>创建提示词/模型配置新版本并尝试原地修改；触发输入与输出敏感规则；执行发布、回滚和失败操作后按用户、模块、时间与结果查询日志和审计。</t>
        </is>
      </c>
      <c r="J13" s="8" t="inlineStr">
        <is>
          <t>已发布正文不可原地修改；敏感输入被阻断或拒答、敏感输出停止返回；JSON 日志含 request_id/user_id/conversation_id/latency_ms 且不含密码、Token 或密钥；审计只增可筛选并记录操作者、版本、时间和结果。</t>
        </is>
      </c>
      <c r="K13" s="8" t="inlineStr">
        <is>
          <t>已执行自动化验证</t>
        </is>
      </c>
      <c r="L13" s="8" t="inlineStr">
        <is>
          <t>backend/tests/test_config.py；test_observability.py；test_governance_versions.py；test_governance_safety.py；test_governance_api.py</t>
        </is>
      </c>
      <c r="M13" s="8" t="inlineStr">
        <is>
          <t>test_code/run_project_test_cases.py（调用项目原生自动化证据）</t>
        </is>
      </c>
      <c r="N13" s="30" t="inlineStr">
        <is>
          <t>通过</t>
        </is>
      </c>
      <c r="O13" s="11" t="n"/>
      <c r="P13" s="13" t="inlineStr">
        <is>
          <t>治理分组通过，ST-103 两条真实 MySQL 并发用例已启用通过；见 functional/05、full-validation/05。</t>
        </is>
      </c>
    </row>
    <row r="14" ht="96" customHeight="1" s="29">
      <c r="A14" s="12" t="inlineStr">
        <is>
          <t>KB-01</t>
        </is>
      </c>
      <c r="B14" s="9" t="inlineStr">
        <is>
          <t>EP-01</t>
        </is>
      </c>
      <c r="C14" s="9" t="inlineStr">
        <is>
          <t>ST-102</t>
        </is>
      </c>
      <c r="D14" s="9" t="inlineStr">
        <is>
          <t>知识库、文档与任务</t>
        </is>
      </c>
      <c r="E14" s="9" t="inlineStr">
        <is>
          <t>P0</t>
        </is>
      </c>
      <c r="F14" s="9" t="inlineStr">
        <is>
          <t>功能/集成</t>
        </is>
      </c>
      <c r="G14" s="8" t="inlineStr">
        <is>
          <t>管理员已登录；MySQL、Redis、OpenSearch、Worker healthy；准备六类样例文件</t>
        </is>
      </c>
      <c r="H14" s="8" t="inlineStr">
        <is>
          <t>知识库创建、查询与编辑</t>
        </is>
      </c>
      <c r="I14" s="8" t="inlineStr">
        <is>
          <t>创建知识库；按名称/状态分页查询；读取详情并修改名称、描述或授权配置。</t>
        </is>
      </c>
      <c r="J14" s="8" t="inlineStr">
        <is>
          <t>响应符合统一契约；列表统计与详情一致；版本/审计字段更新；未授权资源不可见。</t>
        </is>
      </c>
      <c r="K14" s="8" t="inlineStr">
        <is>
          <t>已执行自动化验证</t>
        </is>
      </c>
      <c r="L14" s="8" t="inlineStr">
        <is>
          <t>backend/tests/test_knowledge_service.py；test_file_loaders.py；test_ingestion_acceptance.py；test_security_upload.py；test_task_*；test_search_indexes.py</t>
        </is>
      </c>
      <c r="M14" s="8" t="inlineStr">
        <is>
          <t>test_code/run_project_test_cases.py（调用项目原生自动化证据）</t>
        </is>
      </c>
      <c r="N14" s="30" t="inlineStr">
        <is>
          <t>通过</t>
        </is>
      </c>
      <c r="O14" s="11" t="n"/>
      <c r="P14" s="13" t="inlineStr">
        <is>
          <t>知识库后端 76 条、前端 9 条及 ST-102 MySQL/Redis 集成通过；见 functional/03~04、full-validation/05。</t>
        </is>
      </c>
    </row>
    <row r="15" ht="96" customHeight="1" s="29">
      <c r="A15" s="12" t="inlineStr">
        <is>
          <t>KB-02</t>
        </is>
      </c>
      <c r="B15" s="9" t="inlineStr">
        <is>
          <t>EP-02</t>
        </is>
      </c>
      <c r="C15" s="9" t="inlineStr">
        <is>
          <t>ST-201</t>
        </is>
      </c>
      <c r="D15" s="9" t="inlineStr">
        <is>
          <t>知识库、文档与任务</t>
        </is>
      </c>
      <c r="E15" s="9" t="inlineStr">
        <is>
          <t>P0</t>
        </is>
      </c>
      <c r="F15" s="9" t="inlineStr">
        <is>
          <t>功能/集成</t>
        </is>
      </c>
      <c r="G15" s="8" t="inlineStr">
        <is>
          <t>管理员已登录；MySQL、Redis、OpenSearch、Worker healthy；准备六类样例文件</t>
        </is>
      </c>
      <c r="H15" s="8" t="inlineStr">
        <is>
          <t>六类文档上传与索引</t>
        </is>
      </c>
      <c r="I15" s="8" t="inlineStr">
        <is>
          <t>分别上传 PDF、DOCX、MD、TXT、CSV、XLSX；轮询返回 task_id。</t>
        </is>
      </c>
      <c r="J15" s="8" t="inlineStr">
        <is>
          <t>均生成标准记录、版本和 Chunk；任务最终 SUCCEEDED；内容、metadata、source_key、hash 可追溯。</t>
        </is>
      </c>
      <c r="K15" s="8" t="inlineStr">
        <is>
          <t>已执行自动化验证</t>
        </is>
      </c>
      <c r="L15" s="8" t="inlineStr">
        <is>
          <t>backend/tests/test_knowledge_service.py；test_file_loaders.py；test_ingestion_acceptance.py；test_security_upload.py；test_task_*；test_search_indexes.py</t>
        </is>
      </c>
      <c r="M15" s="8" t="inlineStr">
        <is>
          <t>test_code/run_project_test_cases.py（调用项目原生自动化证据）</t>
        </is>
      </c>
      <c r="N15" s="30" t="inlineStr">
        <is>
          <t>通过</t>
        </is>
      </c>
      <c r="O15" s="11" t="n"/>
      <c r="P15" s="13" t="inlineStr">
        <is>
          <t>知识库后端 76 条、前端 9 条及 ST-102 MySQL/Redis 集成通过；见 functional/03~04、full-validation/05。</t>
        </is>
      </c>
    </row>
    <row r="16" ht="96" customHeight="1" s="29">
      <c r="A16" s="12" t="inlineStr">
        <is>
          <t>KB-03</t>
        </is>
      </c>
      <c r="B16" s="9" t="inlineStr">
        <is>
          <t>EP-02</t>
        </is>
      </c>
      <c r="C16" s="9" t="inlineStr">
        <is>
          <t>ST-201</t>
        </is>
      </c>
      <c r="D16" s="9" t="inlineStr">
        <is>
          <t>知识库、文档与任务</t>
        </is>
      </c>
      <c r="E16" s="9" t="inlineStr">
        <is>
          <t>P0</t>
        </is>
      </c>
      <c r="F16" s="9" t="inlineStr">
        <is>
          <t>安全/异常</t>
        </is>
      </c>
      <c r="G16" s="8" t="inlineStr">
        <is>
          <t>管理员已登录；MySQL、Redis、OpenSearch、Worker healthy；准备六类样例文件</t>
        </is>
      </c>
      <c r="H16" s="8" t="inlineStr">
        <is>
          <t>恶意与非法文件拦截</t>
        </is>
      </c>
      <c r="I16" s="8" t="inlineStr">
        <is>
          <t>覆盖路径穿越、伪造扩展名/MIME/签名、宏/可执行载荷、压缩炸弹、超限大小/数量。</t>
        </is>
      </c>
      <c r="J16" s="8" t="inlineStr">
        <is>
          <t>建档和写盘前拒绝；返回明确 4xx 错误码；不产生残留文件、文档版本、任务或可执行内容。</t>
        </is>
      </c>
      <c r="K16" s="8" t="inlineStr">
        <is>
          <t>已执行自动化验证</t>
        </is>
      </c>
      <c r="L16" s="8" t="inlineStr">
        <is>
          <t>backend/tests/test_knowledge_service.py；test_file_loaders.py；test_ingestion_acceptance.py；test_security_upload.py；test_task_*；test_search_indexes.py</t>
        </is>
      </c>
      <c r="M16" s="8" t="inlineStr">
        <is>
          <t>test_code/run_project_test_cases.py（调用项目原生自动化证据）</t>
        </is>
      </c>
      <c r="N16" s="30" t="inlineStr">
        <is>
          <t>通过</t>
        </is>
      </c>
      <c r="O16" s="11" t="n"/>
      <c r="P16" s="13" t="inlineStr">
        <is>
          <t>知识库后端 76 条、前端 9 条及 ST-102 MySQL/Redis 集成通过；见 functional/03~04、full-validation/05。</t>
        </is>
      </c>
    </row>
    <row r="17" ht="96" customHeight="1" s="29">
      <c r="A17" s="12" t="inlineStr">
        <is>
          <t>KB-04</t>
        </is>
      </c>
      <c r="B17" s="9" t="inlineStr">
        <is>
          <t>EP-02</t>
        </is>
      </c>
      <c r="C17" s="9" t="inlineStr">
        <is>
          <t>ST-201</t>
        </is>
      </c>
      <c r="D17" s="9" t="inlineStr">
        <is>
          <t>知识库、文档与任务</t>
        </is>
      </c>
      <c r="E17" s="9" t="inlineStr">
        <is>
          <t>P0</t>
        </is>
      </c>
      <c r="F17" s="9" t="inlineStr">
        <is>
          <t>功能/集成</t>
        </is>
      </c>
      <c r="G17" s="8" t="inlineStr">
        <is>
          <t>管理员已登录；MySQL、Redis、OpenSearch、Worker healthy；准备六类样例文件</t>
        </is>
      </c>
      <c r="H17" s="8" t="inlineStr">
        <is>
          <t>重复导入与幂等投影</t>
        </is>
      </c>
      <c r="I17" s="8" t="inlineStr">
        <is>
          <t>对同一文件重复上传或重复消费同一 Outbox 事件；比较文档 hash、Chunk ID 与索引数量。</t>
        </is>
      </c>
      <c r="J17" s="8" t="inlineStr">
        <is>
          <t>不产生重复有效版本/Chunk；稳定 ID 保持一致；MySQL 与 OpenSearch 数量和内容一致。</t>
        </is>
      </c>
      <c r="K17" s="8" t="inlineStr">
        <is>
          <t>已执行自动化验证</t>
        </is>
      </c>
      <c r="L17" s="8" t="inlineStr">
        <is>
          <t>backend/tests/test_knowledge_service.py；test_file_loaders.py；test_ingestion_acceptance.py；test_security_upload.py；test_task_*；test_search_indexes.py</t>
        </is>
      </c>
      <c r="M17" s="8" t="inlineStr">
        <is>
          <t>test_code/run_project_test_cases.py（调用项目原生自动化证据）</t>
        </is>
      </c>
      <c r="N17" s="30" t="inlineStr">
        <is>
          <t>通过</t>
        </is>
      </c>
      <c r="O17" s="11" t="n"/>
      <c r="P17" s="13" t="inlineStr">
        <is>
          <t>知识库后端 76 条、前端 9 条及 ST-102 MySQL/Redis 集成通过；见 functional/03~04、full-validation/05。</t>
        </is>
      </c>
    </row>
    <row r="18" ht="96" customHeight="1" s="29">
      <c r="A18" s="12" t="inlineStr">
        <is>
          <t>KB-05</t>
        </is>
      </c>
      <c r="B18" s="9" t="inlineStr">
        <is>
          <t>EP-01</t>
        </is>
      </c>
      <c r="C18" s="9" t="inlineStr">
        <is>
          <t>ST-102</t>
        </is>
      </c>
      <c r="D18" s="9" t="inlineStr">
        <is>
          <t>知识库、文档与任务</t>
        </is>
      </c>
      <c r="E18" s="9" t="inlineStr">
        <is>
          <t>P1</t>
        </is>
      </c>
      <c r="F18" s="9" t="inlineStr">
        <is>
          <t>功能/集成</t>
        </is>
      </c>
      <c r="G18" s="8" t="inlineStr">
        <is>
          <t>管理员已登录；MySQL、Redis、OpenSearch、Worker healthy；准备六类样例文件</t>
        </is>
      </c>
      <c r="H18" s="8" t="inlineStr">
        <is>
          <t>异步任务进度、取消与重试</t>
        </is>
      </c>
      <c r="I18" s="8" t="inlineStr">
        <is>
          <t>查询任务阶段/进度；在可取消阶段取消；构造失败任务并重试；对不可中断阶段发起取消。</t>
        </is>
      </c>
      <c r="J18" s="8" t="inlineStr">
        <is>
          <t>状态机转换合法；失败显示 error_code/stage；可重试任务产生受控重试；不可取消时返回 409。</t>
        </is>
      </c>
      <c r="K18" s="8" t="inlineStr">
        <is>
          <t>已执行自动化验证</t>
        </is>
      </c>
      <c r="L18" s="8" t="inlineStr">
        <is>
          <t>backend/tests/test_knowledge_service.py；test_file_loaders.py；test_ingestion_acceptance.py；test_security_upload.py；test_task_*；test_search_indexes.py</t>
        </is>
      </c>
      <c r="M18" s="8" t="inlineStr">
        <is>
          <t>test_code/run_project_test_cases.py（调用项目原生自动化证据）</t>
        </is>
      </c>
      <c r="N18" s="30" t="inlineStr">
        <is>
          <t>通过</t>
        </is>
      </c>
      <c r="O18" s="11" t="n"/>
      <c r="P18" s="13" t="inlineStr">
        <is>
          <t>知识库后端 76 条、前端 9 条及 ST-102 MySQL/Redis 集成通过；见 functional/03~04、full-validation/05。</t>
        </is>
      </c>
    </row>
    <row r="19" ht="96" customHeight="1" s="29">
      <c r="A19" s="12" t="inlineStr">
        <is>
          <t>KB-06</t>
        </is>
      </c>
      <c r="B19" s="9" t="inlineStr">
        <is>
          <t>EP-01</t>
        </is>
      </c>
      <c r="C19" s="9" t="inlineStr">
        <is>
          <t>ST-102</t>
        </is>
      </c>
      <c r="D19" s="9" t="inlineStr">
        <is>
          <t>知识库、文档与任务</t>
        </is>
      </c>
      <c r="E19" s="9" t="inlineStr">
        <is>
          <t>P0</t>
        </is>
      </c>
      <c r="F19" s="9" t="inlineStr">
        <is>
          <t>功能/集成</t>
        </is>
      </c>
      <c r="G19" s="8" t="inlineStr">
        <is>
          <t>管理员已登录；MySQL、Redis、OpenSearch、Worker healthy；准备六类样例文件</t>
        </is>
      </c>
      <c r="H19" s="8" t="inlineStr">
        <is>
          <t>文档版本回滚、重建与删除</t>
        </is>
      </c>
      <c r="I19" s="8" t="inlineStr">
        <is>
          <t>更新文档形成新版本；回滚旧版本；触发重建索引；逻辑删除并再次搜索。</t>
        </is>
      </c>
      <c r="J19" s="8" t="inlineStr">
        <is>
          <t>回滚和重建返回 task_id；活动版本正确；删除后接口按契约不可见且索引不再召回。</t>
        </is>
      </c>
      <c r="K19" s="8" t="inlineStr">
        <is>
          <t>已执行自动化验证</t>
        </is>
      </c>
      <c r="L19" s="8" t="inlineStr">
        <is>
          <t>backend/tests/test_knowledge_service.py；test_file_loaders.py；test_ingestion_acceptance.py；test_security_upload.py；test_task_*；test_search_indexes.py</t>
        </is>
      </c>
      <c r="M19" s="8" t="inlineStr">
        <is>
          <t>test_code/run_project_test_cases.py（调用项目原生自动化证据）</t>
        </is>
      </c>
      <c r="N19" s="30" t="inlineStr">
        <is>
          <t>通过</t>
        </is>
      </c>
      <c r="O19" s="11" t="n"/>
      <c r="P19" s="13" t="inlineStr">
        <is>
          <t>知识库后端 76 条、前端 9 条及 ST-102 MySQL/Redis 集成通过；见 functional/03~04、full-validation/05。</t>
        </is>
      </c>
    </row>
    <row r="20" ht="96" customHeight="1" s="29">
      <c r="A20" s="12" t="inlineStr">
        <is>
          <t>KB-07</t>
        </is>
      </c>
      <c r="B20" s="9" t="inlineStr">
        <is>
          <t>EP-02</t>
        </is>
      </c>
      <c r="C20" s="9" t="inlineStr">
        <is>
          <t>ST-202</t>
        </is>
      </c>
      <c r="D20" s="9" t="inlineStr">
        <is>
          <t>知识库、文档与任务</t>
        </is>
      </c>
      <c r="E20" s="9" t="inlineStr">
        <is>
          <t>P1</t>
        </is>
      </c>
      <c r="F20" s="9" t="inlineStr">
        <is>
          <t>功能/集成</t>
        </is>
      </c>
      <c r="G20" s="8" t="inlineStr">
        <is>
          <t>管理员已登录；MySQL、Redis、OpenSearch、Worker healthy；准备六类样例文件</t>
        </is>
      </c>
      <c r="H20" s="8" t="inlineStr">
        <is>
          <t>知识库全量重建与别名切换</t>
        </is>
      </c>
      <c r="I20" s="8" t="inlineStr">
        <is>
          <t>对有效 Chunk 构建新索引；在切换前注入缺失/孤儿差异；修复后重新执行。</t>
        </is>
      </c>
      <c r="J20" s="8" t="inlineStr">
        <is>
          <t>存在差异时失败关闭且不切别名；零差异时读写 alias 原子切换，新索引为写索引。</t>
        </is>
      </c>
      <c r="K20" s="8" t="inlineStr">
        <is>
          <t>已执行自动化验证</t>
        </is>
      </c>
      <c r="L20" s="8" t="inlineStr">
        <is>
          <t>backend/tests/test_knowledge_service.py；test_file_loaders.py；test_ingestion_acceptance.py；test_security_upload.py；test_task_*；test_search_indexes.py</t>
        </is>
      </c>
      <c r="M20" s="8" t="inlineStr">
        <is>
          <t>test_code/run_project_test_cases.py（调用项目原生自动化证据）</t>
        </is>
      </c>
      <c r="N20" s="30" t="inlineStr">
        <is>
          <t>通过</t>
        </is>
      </c>
      <c r="O20" s="11" t="n"/>
      <c r="P20" s="13" t="inlineStr">
        <is>
          <t>知识库后端 76 条、前端 9 条及 ST-102 MySQL/Redis 集成通过；见 functional/03~04、full-validation/05。</t>
        </is>
      </c>
    </row>
    <row r="21" ht="96" customHeight="1" s="29">
      <c r="A21" s="12" t="inlineStr">
        <is>
          <t>SEARCH-01</t>
        </is>
      </c>
      <c r="B21" s="9" t="inlineStr">
        <is>
          <t>EP-02</t>
        </is>
      </c>
      <c r="C21" s="9" t="inlineStr">
        <is>
          <t>ST-202</t>
        </is>
      </c>
      <c r="D21" s="9" t="inlineStr">
        <is>
          <t>混合检索、RAG与流式协议</t>
        </is>
      </c>
      <c r="E21" s="9" t="inlineStr">
        <is>
          <t>P0</t>
        </is>
      </c>
      <c r="F21" s="9" t="inlineStr">
        <is>
          <t>功能/集成</t>
        </is>
      </c>
      <c r="G21" s="8" t="inlineStr">
        <is>
          <t>用户有知识库授权；知识文档已完成索引；OpenSearch 与 Embedding 可用</t>
        </is>
      </c>
      <c r="H21" s="8" t="inlineStr">
        <is>
          <t>BM25 与向量双路混合检索</t>
        </is>
      </c>
      <c r="I21" s="8" t="inlineStr">
        <is>
          <t>提交包含关键词与语义条件的查询，检查 debug 命中解释、BM25/向量得分与融合排序。</t>
        </is>
      </c>
      <c r="J21" s="8" t="inlineStr">
        <is>
          <t>两路召回均执行；返回统一 RankedHit、来源和融合分；稳定输入结果可复现。</t>
        </is>
      </c>
      <c r="K21" s="8" t="inlineStr">
        <is>
          <t>已执行自动化验证</t>
        </is>
      </c>
      <c r="L21" s="8" t="inlineStr">
        <is>
          <t>backend/tests/test_search_*；test_agent_*；test_chat_*；test_websocket_chat.py；test_openai_compat.py；前端对话组件测试</t>
        </is>
      </c>
      <c r="M21" s="8" t="inlineStr">
        <is>
          <t>test_code/test_release_candidate_smoke.py</t>
        </is>
      </c>
      <c r="N21" s="30" t="inlineStr">
        <is>
          <t>通过</t>
        </is>
      </c>
      <c r="O21" s="11" t="n"/>
      <c r="P21" s="13" t="inlineStr">
        <is>
          <t>检索后端 29 条、前端 5 条及真实搜索性能样本通过；见 functional/06~07、performance/。</t>
        </is>
      </c>
    </row>
    <row r="22" ht="96" customHeight="1" s="29">
      <c r="A22" s="12" t="inlineStr">
        <is>
          <t>SEARCH-02</t>
        </is>
      </c>
      <c r="B22" s="9" t="inlineStr">
        <is>
          <t>EP-02</t>
        </is>
      </c>
      <c r="C22" s="9" t="inlineStr">
        <is>
          <t>ST-202</t>
        </is>
      </c>
      <c r="D22" s="9" t="inlineStr">
        <is>
          <t>混合检索、RAG与流式协议</t>
        </is>
      </c>
      <c r="E22" s="9" t="inlineStr">
        <is>
          <t>P0</t>
        </is>
      </c>
      <c r="F22" s="9" t="inlineStr">
        <is>
          <t>安全/异常</t>
        </is>
      </c>
      <c r="G22" s="8" t="inlineStr">
        <is>
          <t>用户有知识库授权；知识文档已完成索引；OpenSearch 与 Embedding 可用</t>
        </is>
      </c>
      <c r="H22" s="8" t="inlineStr">
        <is>
          <t>权限、时效与营业状态强制过滤</t>
        </is>
      </c>
      <c r="I22" s="8" t="inlineStr">
        <is>
          <t>尝试从客户端移除/伪造 tenant、knowledge_base、resource_scope、valid_from/valid_to、营业状态过滤。</t>
        </is>
      </c>
      <c r="J22" s="8" t="inlineStr">
        <is>
          <t>服务端强制范围不可绕过；未授权、过期、停业或无效数据不被召回。</t>
        </is>
      </c>
      <c r="K22" s="8" t="inlineStr">
        <is>
          <t>已执行自动化验证</t>
        </is>
      </c>
      <c r="L22" s="8" t="inlineStr">
        <is>
          <t>backend/tests/test_search_*；test_agent_*；test_chat_*；test_websocket_chat.py；test_openai_compat.py；前端对话组件测试</t>
        </is>
      </c>
      <c r="M22" s="8" t="inlineStr">
        <is>
          <t>test_code/run_project_test_cases.py（调用项目原生自动化证据）</t>
        </is>
      </c>
      <c r="N22" s="30" t="inlineStr">
        <is>
          <t>通过</t>
        </is>
      </c>
      <c r="O22" s="11" t="n"/>
      <c r="P22" s="13" t="inlineStr">
        <is>
          <t>检索后端 29 条、前端 5 条及真实搜索性能样本通过；见 functional/06~07、performance/。</t>
        </is>
      </c>
    </row>
    <row r="23" ht="96" customHeight="1" s="29">
      <c r="A23" s="12" t="inlineStr">
        <is>
          <t>RAG-01</t>
        </is>
      </c>
      <c r="B23" s="9" t="inlineStr">
        <is>
          <t>EP-03</t>
        </is>
      </c>
      <c r="C23" s="9" t="inlineStr">
        <is>
          <t>ST-301</t>
        </is>
      </c>
      <c r="D23" s="9" t="inlineStr">
        <is>
          <t>混合检索、RAG与流式协议</t>
        </is>
      </c>
      <c r="E23" s="9" t="inlineStr">
        <is>
          <t>P0</t>
        </is>
      </c>
      <c r="F23" s="9" t="inlineStr">
        <is>
          <t>功能/集成</t>
        </is>
      </c>
      <c r="G23" s="8" t="inlineStr">
        <is>
          <t>用户已登录；演示会话/知识数据存在；检索与生成服务可用</t>
        </is>
      </c>
      <c r="H23" s="8" t="inlineStr">
        <is>
          <t>多轮约束识别与上下文恢复</t>
        </is>
      </c>
      <c r="I23" s="8" t="inlineStr">
        <is>
          <t>首轮给出距离/菜系，次轮补充预算/人数/场景；刷新页面后用同一 conversation_id 恢复。</t>
        </is>
      </c>
      <c r="J23" s="8" t="inlineStr">
        <is>
          <t>识别探店意图并合并约束；会话、消息和当前分支可恢复；不会串入其他会话。</t>
        </is>
      </c>
      <c r="K23" s="8" t="inlineStr">
        <is>
          <t>已执行自动化验证</t>
        </is>
      </c>
      <c r="L23" s="8" t="inlineStr">
        <is>
          <t>backend/tests/test_search_*；test_agent_*；test_chat_*；test_websocket_chat.py；test_openai_compat.py；前端对话组件测试</t>
        </is>
      </c>
      <c r="M23" s="8" t="inlineStr">
        <is>
          <t>test_code/run_project_test_cases.py（调用项目原生自动化证据）</t>
        </is>
      </c>
      <c r="N23" s="30" t="inlineStr">
        <is>
          <t>通过</t>
        </is>
      </c>
      <c r="O23" s="11" t="n"/>
      <c r="P23" s="13" t="inlineStr">
        <is>
          <t>RAG 后端 69 条、前端 19 条通过；引用与无结果兜底同时由 E2E 覆盖；见 functional/08~09、acceptance/02。</t>
        </is>
      </c>
    </row>
    <row r="24" ht="96" customHeight="1" s="29">
      <c r="A24" s="12" t="inlineStr">
        <is>
          <t>RAG-02</t>
        </is>
      </c>
      <c r="B24" s="9" t="inlineStr">
        <is>
          <t>EP-03</t>
        </is>
      </c>
      <c r="C24" s="9" t="inlineStr">
        <is>
          <t>ST-301</t>
        </is>
      </c>
      <c r="D24" s="9" t="inlineStr">
        <is>
          <t>混合检索、RAG与流式协议</t>
        </is>
      </c>
      <c r="E24" s="9" t="inlineStr">
        <is>
          <t>P0</t>
        </is>
      </c>
      <c r="F24" s="9" t="inlineStr">
        <is>
          <t>功能/集成</t>
        </is>
      </c>
      <c r="G24" s="8" t="inlineStr">
        <is>
          <t>用户已登录；演示会话/知识数据存在；检索与生成服务可用</t>
        </is>
      </c>
      <c r="H24" s="8" t="inlineStr">
        <is>
          <t>缺少关键条件时主动追问</t>
        </is>
      </c>
      <c r="I24" s="8" t="inlineStr">
        <is>
          <t>仅输入模糊探店需求，随后回答追问。</t>
        </is>
      </c>
      <c r="J24" s="8" t="inlineStr">
        <is>
          <t>系统先询问缺失的预算、人数或关键约束；下一轮保留已知条件并进入检索，不重复无关追问。</t>
        </is>
      </c>
      <c r="K24" s="8" t="inlineStr">
        <is>
          <t>已执行自动化验证</t>
        </is>
      </c>
      <c r="L24" s="8" t="inlineStr">
        <is>
          <t>backend/tests/test_search_*；test_agent_*；test_chat_*；test_websocket_chat.py；test_openai_compat.py；前端对话组件测试</t>
        </is>
      </c>
      <c r="M24" s="8" t="inlineStr">
        <is>
          <t>test_code/run_project_test_cases.py（调用项目原生自动化证据）</t>
        </is>
      </c>
      <c r="N24" s="30" t="inlineStr">
        <is>
          <t>通过</t>
        </is>
      </c>
      <c r="O24" s="11" t="n"/>
      <c r="P24" s="13" t="inlineStr">
        <is>
          <t>RAG 后端 69 条、前端 19 条通过；引用与无结果兜底同时由 E2E 覆盖；见 functional/08~09、acceptance/02。</t>
        </is>
      </c>
    </row>
    <row r="25" ht="96" customHeight="1" s="29">
      <c r="A25" s="12" t="inlineStr">
        <is>
          <t>RAG-03</t>
        </is>
      </c>
      <c r="B25" s="9" t="inlineStr">
        <is>
          <t>EP-03</t>
        </is>
      </c>
      <c r="C25" s="9" t="inlineStr">
        <is>
          <t>ST-301</t>
        </is>
      </c>
      <c r="D25" s="9" t="inlineStr">
        <is>
          <t>混合检索、RAG与流式协议</t>
        </is>
      </c>
      <c r="E25" s="9" t="inlineStr">
        <is>
          <t>P0</t>
        </is>
      </c>
      <c r="F25" s="9" t="inlineStr">
        <is>
          <t>功能/集成</t>
        </is>
      </c>
      <c r="G25" s="8" t="inlineStr">
        <is>
          <t>用户已登录；演示会话/知识数据存在；检索与生成服务可用</t>
        </is>
      </c>
      <c r="H25" s="8" t="inlineStr">
        <is>
          <t>推荐引用可追溯且支持事实</t>
        </is>
      </c>
      <c r="I25" s="8" t="inlineStr">
        <is>
          <t>请求具体商家推荐；逐项打开 citation/source URL，并对照回答中的价格、距离、营业信息和理由。</t>
        </is>
      </c>
      <c r="J25" s="8" t="inlineStr">
        <is>
          <t>每项推荐至少一个支持性引用；来源定位到商家/文档/点评片段；引用内容与事实一致。</t>
        </is>
      </c>
      <c r="K25" s="8" t="inlineStr">
        <is>
          <t>已执行自动化验证</t>
        </is>
      </c>
      <c r="L25" s="8" t="inlineStr">
        <is>
          <t>backend/tests/test_search_*；test_agent_*；test_chat_*；test_websocket_chat.py；test_openai_compat.py；前端对话组件测试</t>
        </is>
      </c>
      <c r="M25" s="8" t="inlineStr">
        <is>
          <t>test_code/run_project_test_cases.py（调用项目原生自动化证据）</t>
        </is>
      </c>
      <c r="N25" s="30" t="inlineStr">
        <is>
          <t>通过</t>
        </is>
      </c>
      <c r="O25" s="11" t="n"/>
      <c r="P25" s="13" t="inlineStr">
        <is>
          <t>RAG 后端 69 条、前端 19 条通过；引用与无结果兜底同时由 E2E 覆盖；见 functional/08~09、acceptance/02。</t>
        </is>
      </c>
    </row>
    <row r="26" ht="96" customHeight="1" s="29">
      <c r="A26" s="12" t="inlineStr">
        <is>
          <t>RAG-04</t>
        </is>
      </c>
      <c r="B26" s="9" t="inlineStr">
        <is>
          <t>EP-03</t>
        </is>
      </c>
      <c r="C26" s="9" t="inlineStr">
        <is>
          <t>ST-301</t>
        </is>
      </c>
      <c r="D26" s="9" t="inlineStr">
        <is>
          <t>混合检索、RAG与流式协议</t>
        </is>
      </c>
      <c r="E26" s="9" t="inlineStr">
        <is>
          <t>P0</t>
        </is>
      </c>
      <c r="F26" s="9" t="inlineStr">
        <is>
          <t>功能/集成</t>
        </is>
      </c>
      <c r="G26" s="8" t="inlineStr">
        <is>
          <t>用户已登录；演示会话/知识数据存在；检索与生成服务可用</t>
        </is>
      </c>
      <c r="H26" s="8" t="inlineStr">
        <is>
          <t>低证据无结果兜底</t>
        </is>
      </c>
      <c r="I26" s="8" t="inlineStr">
        <is>
          <t>使用不存在或相互冲突的条件，或将检索分数压至阈值以下。</t>
        </is>
      </c>
      <c r="J26" s="8" t="inlineStr">
        <is>
          <t>返回明确无足够证据提示和放宽/改写建议；不编造商家、评分、地址或引用。</t>
        </is>
      </c>
      <c r="K26" s="8" t="inlineStr">
        <is>
          <t>已执行自动化验证</t>
        </is>
      </c>
      <c r="L26" s="8" t="inlineStr">
        <is>
          <t>backend/tests/test_search_*；test_agent_*；test_chat_*；test_websocket_chat.py；test_openai_compat.py；前端对话组件测试</t>
        </is>
      </c>
      <c r="M26" s="8" t="inlineStr">
        <is>
          <t>test_code/run_project_test_cases.py（调用项目原生自动化证据）</t>
        </is>
      </c>
      <c r="N26" s="30" t="inlineStr">
        <is>
          <t>通过</t>
        </is>
      </c>
      <c r="O26" s="11" t="n"/>
      <c r="P26" s="13" t="inlineStr">
        <is>
          <t>RAG 后端 69 条、前端 19 条通过；引用与无结果兜底同时由 E2E 覆盖；见 functional/08~09、acceptance/02。</t>
        </is>
      </c>
    </row>
    <row r="27" ht="96" customHeight="1" s="29">
      <c r="A27" s="12" t="inlineStr">
        <is>
          <t>WS-01</t>
        </is>
      </c>
      <c r="B27" s="9" t="inlineStr">
        <is>
          <t>EP-03</t>
        </is>
      </c>
      <c r="C27" s="9" t="inlineStr">
        <is>
          <t>ST-302</t>
        </is>
      </c>
      <c r="D27" s="9" t="inlineStr">
        <is>
          <t>混合检索、RAG与流式协议</t>
        </is>
      </c>
      <c r="E27" s="9" t="inlineStr">
        <is>
          <t>P0</t>
        </is>
      </c>
      <c r="F27" s="9" t="inlineStr">
        <is>
          <t>协议/集成</t>
        </is>
      </c>
      <c r="G27" s="8" t="inlineStr">
        <is>
          <t>用户已登录；可签发一次性 ws-token；Nginx 支持 Upgrade/SSE</t>
        </is>
      </c>
      <c r="H27" s="8" t="inlineStr">
        <is>
          <t>WebSocket 增量、心跳、取消与重连</t>
        </is>
      </c>
      <c r="I27" s="8" t="inlineStr">
        <is>
          <t>获取一次性 ws-token 建链；检查 delta/citation/done/heartbeat；中途取消、断网重连并重复 request_id。</t>
        </is>
      </c>
      <c r="J27" s="8" t="inlineStr">
        <is>
          <t>事件顺序正确；心跳不超过 30 秒；取消/断连清理任务；一次性令牌和请求幂等生效；重连不重复内容。</t>
        </is>
      </c>
      <c r="K27" s="8" t="inlineStr">
        <is>
          <t>已执行自动化验证</t>
        </is>
      </c>
      <c r="L27" s="8" t="inlineStr">
        <is>
          <t>backend/tests/test_search_*；test_agent_*；test_chat_*；test_websocket_chat.py；test_openai_compat.py；前端对话组件测试</t>
        </is>
      </c>
      <c r="M27" s="8" t="inlineStr">
        <is>
          <t>test_code/run_project_test_cases.py（调用项目原生自动化证据）</t>
        </is>
      </c>
      <c r="N27" s="30" t="inlineStr">
        <is>
          <t>通过</t>
        </is>
      </c>
      <c r="O27" s="11" t="n"/>
      <c r="P27" s="13" t="inlineStr">
        <is>
          <t>WebSocket/OpenAI 兼容后端 18 条、前端 5 条通过；见 functional/10~11。</t>
        </is>
      </c>
    </row>
    <row r="28" ht="96" customHeight="1" s="29">
      <c r="A28" s="12" t="inlineStr">
        <is>
          <t>WS-02</t>
        </is>
      </c>
      <c r="B28" s="9" t="inlineStr">
        <is>
          <t>EP-03</t>
        </is>
      </c>
      <c r="C28" s="9" t="inlineStr">
        <is>
          <t>ST-302</t>
        </is>
      </c>
      <c r="D28" s="9" t="inlineStr">
        <is>
          <t>混合检索、RAG与流式协议</t>
        </is>
      </c>
      <c r="E28" s="9" t="inlineStr">
        <is>
          <t>P0</t>
        </is>
      </c>
      <c r="F28" s="9" t="inlineStr">
        <is>
          <t>协议/集成</t>
        </is>
      </c>
      <c r="G28" s="8" t="inlineStr">
        <is>
          <t>用户已登录；可签发一次性 ws-token；Nginx 支持 Upgrade/SSE</t>
        </is>
      </c>
      <c r="H28" s="8" t="inlineStr">
        <is>
          <t>OpenAI 兼容非流式与 SSE</t>
        </is>
      </c>
      <c r="I28" s="8" t="inlineStr">
        <is>
          <t>调用 /v1/chat/completions 的 stream=false/true；验证常用 SDK 解析、chunk 顺序、错误对象和结束帧。</t>
        </is>
      </c>
      <c r="J28" s="8" t="inlineStr">
        <is>
          <t>非流式对象兼容；SSE 首帧后持续输出并以 [DONE] 结束；异常映射为兼容错误对象且不泄露内部信息。</t>
        </is>
      </c>
      <c r="K28" s="8" t="inlineStr">
        <is>
          <t>已执行自动化验证</t>
        </is>
      </c>
      <c r="L28" s="8" t="inlineStr">
        <is>
          <t>backend/tests/test_search_*；test_agent_*；test_chat_*；test_websocket_chat.py；test_openai_compat.py；前端对话组件测试</t>
        </is>
      </c>
      <c r="M28" s="8" t="inlineStr">
        <is>
          <t>test_code/run_project_test_cases.py（调用项目原生自动化证据）</t>
        </is>
      </c>
      <c r="N28" s="30" t="inlineStr">
        <is>
          <t>通过</t>
        </is>
      </c>
      <c r="O28" s="11" t="n"/>
      <c r="P28" s="13" t="inlineStr">
        <is>
          <t>WebSocket/OpenAI 兼容后端 18 条、前端 5 条通过；见 functional/10~11。</t>
        </is>
      </c>
    </row>
    <row r="29" ht="96" customHeight="1" s="29">
      <c r="A29" s="12" t="inlineStr">
        <is>
          <t>MERCHANT-01</t>
        </is>
      </c>
      <c r="B29" s="9" t="inlineStr">
        <is>
          <t>EP-04</t>
        </is>
      </c>
      <c r="C29" s="9" t="inlineStr">
        <is>
          <t>ST-401</t>
        </is>
      </c>
      <c r="D29" s="9" t="inlineStr">
        <is>
          <t>商家口碑、点评与洞察</t>
        </is>
      </c>
      <c r="E29" s="9" t="inlineStr">
        <is>
          <t>P1</t>
        </is>
      </c>
      <c r="F29" s="9" t="inlineStr">
        <is>
          <t>功能/集成</t>
        </is>
      </c>
      <c r="G29" s="8" t="inlineStr">
        <is>
          <t>商家及管理员账号就绪；确定性点评、情感与授权数据已初始化</t>
        </is>
      </c>
      <c r="H29" s="8" t="inlineStr">
        <is>
          <t>商家情感分布与日/周/月趋势</t>
        </is>
      </c>
      <c r="I29" s="8" t="inlineStr">
        <is>
          <t>商家选择日、周、月时间粒度并切换时间窗；核对正/中/负计数与评分趋势。</t>
        </is>
      </c>
      <c r="J29" s="8" t="inlineStr">
        <is>
          <t>聚合口径一致，bucket 连续；样本量与原始点评一致；仅返回授权商家数据。</t>
        </is>
      </c>
      <c r="K29" s="8" t="inlineStr">
        <is>
          <t>已执行自动化验证</t>
        </is>
      </c>
      <c r="L29" s="8" t="inlineStr">
        <is>
          <t>backend/tests/test_analytics.py；test_user_reviews.py；test_reply_generator.py；test_recommendation_generator.py；前端商家组件测试</t>
        </is>
      </c>
      <c r="M29" s="8" t="inlineStr">
        <is>
          <t>test_code/run_project_test_cases.py（调用项目原生自动化证据）</t>
        </is>
      </c>
      <c r="N29" s="30" t="inlineStr">
        <is>
          <t>通过</t>
        </is>
      </c>
      <c r="O29" s="11" t="n"/>
      <c r="P29" s="13" t="inlineStr">
        <is>
          <t>商家后端 123 条、前端 10 条通过，E2E 商家授权范围通过；见 functional/12~13、acceptance/02。</t>
        </is>
      </c>
    </row>
    <row r="30" ht="96" customHeight="1" s="29">
      <c r="A30" s="12" t="inlineStr">
        <is>
          <t>MERCHANT-02</t>
        </is>
      </c>
      <c r="B30" s="9" t="inlineStr">
        <is>
          <t>EP-04</t>
        </is>
      </c>
      <c r="C30" s="9" t="inlineStr">
        <is>
          <t>ST-401</t>
        </is>
      </c>
      <c r="D30" s="9" t="inlineStr">
        <is>
          <t>商家口碑、点评与洞察</t>
        </is>
      </c>
      <c r="E30" s="9" t="inlineStr">
        <is>
          <t>P1</t>
        </is>
      </c>
      <c r="F30" s="9" t="inlineStr">
        <is>
          <t>功能/集成</t>
        </is>
      </c>
      <c r="G30" s="8" t="inlineStr">
        <is>
          <t>商家及管理员账号就绪；确定性点评、情感与授权数据已初始化</t>
        </is>
      </c>
      <c r="H30" s="8" t="inlineStr">
        <is>
          <t>方面词和差评原因下钻</t>
        </is>
      </c>
      <c r="I30" s="8" t="inlineStr">
        <is>
          <t>点击方面词、差评原因或趋势点，查看参与计算的原点评与高亮片段。</t>
        </is>
      </c>
      <c r="J30" s="8" t="inlineStr">
        <is>
          <t>下钻列表与所选桶一致；高亮准确；脱敏字段不被恢复；分页不重复不遗漏。</t>
        </is>
      </c>
      <c r="K30" s="8" t="inlineStr">
        <is>
          <t>已执行自动化验证</t>
        </is>
      </c>
      <c r="L30" s="8" t="inlineStr">
        <is>
          <t>backend/tests/test_analytics.py；test_user_reviews.py；test_reply_generator.py；test_recommendation_generator.py；前端商家组件测试</t>
        </is>
      </c>
      <c r="M30" s="8" t="inlineStr">
        <is>
          <t>test_code/run_project_test_cases.py（调用项目原生自动化证据）</t>
        </is>
      </c>
      <c r="N30" s="30" t="inlineStr">
        <is>
          <t>通过</t>
        </is>
      </c>
      <c r="O30" s="11" t="n"/>
      <c r="P30" s="13" t="inlineStr">
        <is>
          <t>商家后端 123 条、前端 10 条通过，E2E 商家授权范围通过；见 functional/12~13、acceptance/02。</t>
        </is>
      </c>
    </row>
    <row r="31" ht="96" customHeight="1" s="29">
      <c r="A31" s="12" t="inlineStr">
        <is>
          <t>MERCHANT-03</t>
        </is>
      </c>
      <c r="B31" s="9" t="inlineStr">
        <is>
          <t>EP-04</t>
        </is>
      </c>
      <c r="C31" s="9" t="inlineStr">
        <is>
          <t>ST-402</t>
        </is>
      </c>
      <c r="D31" s="9" t="inlineStr">
        <is>
          <t>商家口碑、点评与洞察</t>
        </is>
      </c>
      <c r="E31" s="9" t="inlineStr">
        <is>
          <t>P1</t>
        </is>
      </c>
      <c r="F31" s="9" t="inlineStr">
        <is>
          <t>功能/集成</t>
        </is>
      </c>
      <c r="G31" s="8" t="inlineStr">
        <is>
          <t>商家及管理员账号就绪；确定性点评、情感与授权数据已初始化</t>
        </is>
      </c>
      <c r="H31" s="8" t="inlineStr">
        <is>
          <t>2～4 家竞品统一口径比较</t>
        </is>
      </c>
      <c r="I31" s="8" t="inlineStr">
        <is>
          <t>选择 1、2、4、5 家竞品及不同时间窗，比较情感、方面词、差评原因和样本量。</t>
        </is>
      </c>
      <c r="J31" s="8" t="inlineStr">
        <is>
          <t>仅允许 2～4 家；使用相同时间窗/公式/样本下限；不暴露竞品私有点评或经营数据。</t>
        </is>
      </c>
      <c r="K31" s="8" t="inlineStr">
        <is>
          <t>已执行自动化验证</t>
        </is>
      </c>
      <c r="L31" s="8" t="inlineStr">
        <is>
          <t>backend/tests/test_analytics.py；test_user_reviews.py；test_reply_generator.py；test_recommendation_generator.py；前端商家组件测试</t>
        </is>
      </c>
      <c r="M31" s="8" t="inlineStr">
        <is>
          <t>test_code/run_project_test_cases.py（调用项目原生自动化证据）</t>
        </is>
      </c>
      <c r="N31" s="30" t="inlineStr">
        <is>
          <t>通过</t>
        </is>
      </c>
      <c r="O31" s="11" t="n"/>
      <c r="P31" s="13" t="inlineStr">
        <is>
          <t>商家后端 123 条、前端 10 条通过，E2E 商家授权范围通过；见 functional/12~13、acceptance/02。</t>
        </is>
      </c>
    </row>
    <row r="32" ht="96" customHeight="1" s="29">
      <c r="A32" s="12" t="inlineStr">
        <is>
          <t>MERCHANT-04</t>
        </is>
      </c>
      <c r="B32" s="9" t="inlineStr">
        <is>
          <t>EP-04</t>
        </is>
      </c>
      <c r="C32" s="9" t="inlineStr">
        <is>
          <t>ST-402</t>
        </is>
      </c>
      <c r="D32" s="9" t="inlineStr">
        <is>
          <t>商家口碑、点评与洞察</t>
        </is>
      </c>
      <c r="E32" s="9" t="inlineStr">
        <is>
          <t>P1</t>
        </is>
      </c>
      <c r="F32" s="9" t="inlineStr">
        <is>
          <t>功能/集成</t>
        </is>
      </c>
      <c r="G32" s="8" t="inlineStr">
        <is>
          <t>商家及管理员账号就绪；确定性点评、情感与授权数据已初始化</t>
        </is>
      </c>
      <c r="H32" s="8" t="inlineStr">
        <is>
          <t>低样本与证据冲突提示</t>
        </is>
      </c>
      <c r="I32" s="8" t="inlineStr">
        <is>
          <t>构造样本不足或指标冲突的商家/竞品数据。</t>
        </is>
      </c>
      <c r="J32" s="8" t="inlineStr">
        <is>
          <t>明确提示样本不足或证据冲突；不输出确定性排名；建议扩大时间窗或补充数据。</t>
        </is>
      </c>
      <c r="K32" s="8" t="inlineStr">
        <is>
          <t>已执行自动化验证</t>
        </is>
      </c>
      <c r="L32" s="8" t="inlineStr">
        <is>
          <t>backend/tests/test_analytics.py；test_user_reviews.py；test_reply_generator.py；test_recommendation_generator.py；前端商家组件测试</t>
        </is>
      </c>
      <c r="M32" s="8" t="inlineStr">
        <is>
          <t>test_code/run_project_test_cases.py（调用项目原生自动化证据）</t>
        </is>
      </c>
      <c r="N32" s="30" t="inlineStr">
        <is>
          <t>通过</t>
        </is>
      </c>
      <c r="O32" s="11" t="n"/>
      <c r="P32" s="13" t="inlineStr">
        <is>
          <t>商家后端 123 条、前端 10 条通过，E2E 商家授权范围通过；见 functional/12~13、acceptance/02。</t>
        </is>
      </c>
    </row>
    <row r="33" ht="96" customHeight="1" s="29">
      <c r="A33" s="12" t="inlineStr">
        <is>
          <t>MERCHANT-05</t>
        </is>
      </c>
      <c r="B33" s="9" t="inlineStr">
        <is>
          <t>EP-04</t>
        </is>
      </c>
      <c r="C33" s="9" t="inlineStr">
        <is>
          <t>ST-402</t>
        </is>
      </c>
      <c r="D33" s="9" t="inlineStr">
        <is>
          <t>商家口碑、点评与洞察</t>
        </is>
      </c>
      <c r="E33" s="9" t="inlineStr">
        <is>
          <t>P1</t>
        </is>
      </c>
      <c r="F33" s="9" t="inlineStr">
        <is>
          <t>功能/集成</t>
        </is>
      </c>
      <c r="G33" s="8" t="inlineStr">
        <is>
          <t>商家及管理员账号就绪；确定性点评、情感与授权数据已初始化</t>
        </is>
      </c>
      <c r="H33" s="8" t="inlineStr">
        <is>
          <t>回复建议可编辑但不自动发布</t>
        </is>
      </c>
      <c r="I33" s="8" t="inlineStr">
        <is>
          <t>针对指定原点评生成回复，编辑并复制；检查页面操作与后端记录。</t>
        </is>
      </c>
      <c r="J33" s="8" t="inlineStr">
        <is>
          <t>建议关联原点评和生成版本；可编辑/复制；无自动发布动作；敏感输出被拦截。</t>
        </is>
      </c>
      <c r="K33" s="8" t="inlineStr">
        <is>
          <t>已执行自动化验证</t>
        </is>
      </c>
      <c r="L33" s="8" t="inlineStr">
        <is>
          <t>backend/tests/test_analytics.py；test_user_reviews.py；test_reply_generator.py；test_recommendation_generator.py；前端商家组件测试</t>
        </is>
      </c>
      <c r="M33" s="8" t="inlineStr">
        <is>
          <t>test_code/run_project_test_cases.py（调用项目原生自动化证据）</t>
        </is>
      </c>
      <c r="N33" s="30" t="inlineStr">
        <is>
          <t>通过</t>
        </is>
      </c>
      <c r="O33" s="11" t="n"/>
      <c r="P33" s="13" t="inlineStr">
        <is>
          <t>商家后端 123 条、前端 10 条通过，E2E 商家授权范围通过；见 functional/12~13、acceptance/02。</t>
        </is>
      </c>
    </row>
    <row r="34" ht="96" customHeight="1" s="29">
      <c r="A34" s="12" t="inlineStr">
        <is>
          <t>MERCHANT-06</t>
        </is>
      </c>
      <c r="B34" s="9" t="inlineStr">
        <is>
          <t>EP-06</t>
        </is>
      </c>
      <c r="C34" s="9" t="inlineStr">
        <is>
          <t>ST-603</t>
        </is>
      </c>
      <c r="D34" s="9" t="inlineStr">
        <is>
          <t>商家口碑、点评与洞察</t>
        </is>
      </c>
      <c r="E34" s="9" t="inlineStr">
        <is>
          <t>P0</t>
        </is>
      </c>
      <c r="F34" s="9" t="inlineStr">
        <is>
          <t>功能/集成</t>
        </is>
      </c>
      <c r="G34" s="8" t="inlineStr">
        <is>
          <t>商家及管理员账号就绪；确定性点评、情感与授权数据已初始化</t>
        </is>
      </c>
      <c r="H34" s="8" t="inlineStr">
        <is>
          <t>用户点评提交与管理员审核</t>
        </is>
      </c>
      <c r="I34" s="8" t="inlineStr">
        <is>
          <t>用户提交评分/正文；管理员查看 pending 并通过/拒绝；重复审核与越权审核。</t>
        </is>
      </c>
      <c r="J34" s="8" t="inlineStr">
        <is>
          <t>创建后为待审核；仅平台管理员可审核；状态转换幂等且可审计；通过后才进入分析/展示链路。</t>
        </is>
      </c>
      <c r="K34" s="8" t="inlineStr">
        <is>
          <t>已执行自动化验证</t>
        </is>
      </c>
      <c r="L34" s="8" t="inlineStr">
        <is>
          <t>backend/tests/test_analytics.py；test_user_reviews.py；test_reply_generator.py；test_recommendation_generator.py；前端商家组件测试</t>
        </is>
      </c>
      <c r="M34" s="8" t="inlineStr">
        <is>
          <t>test_code/run_project_test_cases.py（调用项目原生自动化证据）</t>
        </is>
      </c>
      <c r="N34" s="30" t="inlineStr">
        <is>
          <t>通过</t>
        </is>
      </c>
      <c r="O34" s="11" t="n"/>
      <c r="P34" s="13" t="inlineStr">
        <is>
          <t>商家后端 123 条、前端 10 条通过，E2E 商家授权范围通过；见 functional/12~13、acceptance/02。</t>
        </is>
      </c>
    </row>
    <row r="35" ht="96" customHeight="1" s="29">
      <c r="A35" s="12" t="inlineStr">
        <is>
          <t>MODEL-01</t>
        </is>
      </c>
      <c r="B35" s="9" t="inlineStr">
        <is>
          <t>EP-05</t>
        </is>
      </c>
      <c r="C35" s="9" t="inlineStr">
        <is>
          <t>ST-501</t>
        </is>
      </c>
      <c r="D35" s="9" t="inlineStr">
        <is>
          <t>反馈、数据集与模型治理</t>
        </is>
      </c>
      <c r="E35" s="9" t="inlineStr">
        <is>
          <t>P0</t>
        </is>
      </c>
      <c r="F35" s="9" t="inlineStr">
        <is>
          <t>功能/集成</t>
        </is>
      </c>
      <c r="G35" s="8" t="inlineStr">
        <is>
          <t>反馈/数据集/模型管理权限就绪；训练或评测依赖按用例准备</t>
        </is>
      </c>
      <c r="H35" s="8" t="inlineStr">
        <is>
          <t>消息反馈关联与幂等</t>
        </is>
      </c>
      <c r="I35" s="8" t="inlineStr">
        <is>
          <t>对有效 conversation_id/message_id 提交赞/踩、原因和修正答案；同一用户重复提交。</t>
        </is>
      </c>
      <c r="J35" s="8" t="inlineStr">
        <is>
          <t>反馈关联用户、消息和原模型版本；重复提交按幂等规则更新或去重，不产生多个有效反馈。</t>
        </is>
      </c>
      <c r="K35" s="8" t="inlineStr">
        <is>
          <t>已执行自动化验证</t>
        </is>
      </c>
      <c r="L35" s="8" t="inlineStr">
        <is>
          <t>backend/tests/test_feedback_*；test_dataset_builder.py；test_train_lora.py；test_governance_*；前端模型/反馈组件测试</t>
        </is>
      </c>
      <c r="M35" s="8" t="inlineStr">
        <is>
          <t>test_code/run_project_test_cases.py（调用项目原生自动化证据）</t>
        </is>
      </c>
      <c r="N35" s="30" t="inlineStr">
        <is>
          <t>通过</t>
        </is>
      </c>
      <c r="O35" s="11" t="n"/>
      <c r="P35" s="13" t="inlineStr">
        <is>
          <t>模型治理后端 202 条、前端 10 条通过；见 functional/14~15。</t>
        </is>
      </c>
    </row>
    <row r="36" ht="96" customHeight="1" s="29">
      <c r="A36" s="12" t="inlineStr">
        <is>
          <t>MODEL-02</t>
        </is>
      </c>
      <c r="B36" s="9" t="inlineStr">
        <is>
          <t>EP-05</t>
        </is>
      </c>
      <c r="C36" s="9" t="inlineStr">
        <is>
          <t>ST-501</t>
        </is>
      </c>
      <c r="D36" s="9" t="inlineStr">
        <is>
          <t>反馈、数据集与模型治理</t>
        </is>
      </c>
      <c r="E36" s="9" t="inlineStr">
        <is>
          <t>P0</t>
        </is>
      </c>
      <c r="F36" s="9" t="inlineStr">
        <is>
          <t>功能/集成</t>
        </is>
      </c>
      <c r="G36" s="8" t="inlineStr">
        <is>
          <t>反馈/数据集/模型管理权限就绪；训练或评测依赖按用例准备</t>
        </is>
      </c>
      <c r="H36" s="8" t="inlineStr">
        <is>
          <t>数据集导出前 PII 脱敏与授权</t>
        </is>
      </c>
      <c r="I36" s="8" t="inlineStr">
        <is>
          <t>样本含手机号、身份证、邮箱和未授权会话；构建训练数据集。</t>
        </is>
      </c>
      <c r="J36" s="8" t="inlineStr">
        <is>
          <t>敏感信息被稳定脱敏；未授权、未审核或低质量样本被排除；质量报告记录剔除原因。</t>
        </is>
      </c>
      <c r="K36" s="8" t="inlineStr">
        <is>
          <t>已执行自动化验证</t>
        </is>
      </c>
      <c r="L36" s="8" t="inlineStr">
        <is>
          <t>backend/tests/test_feedback_*；test_dataset_builder.py；test_train_lora.py；test_governance_*；前端模型/反馈组件测试</t>
        </is>
      </c>
      <c r="M36" s="8" t="inlineStr">
        <is>
          <t>test_code/run_project_test_cases.py（调用项目原生自动化证据）</t>
        </is>
      </c>
      <c r="N36" s="30" t="inlineStr">
        <is>
          <t>通过</t>
        </is>
      </c>
      <c r="O36" s="11" t="n"/>
      <c r="P36" s="13" t="inlineStr">
        <is>
          <t>模型治理后端 202 条、前端 10 条通过；见 functional/14~15。</t>
        </is>
      </c>
    </row>
    <row r="37" ht="96" customHeight="1" s="29">
      <c r="A37" s="12" t="inlineStr">
        <is>
          <t>MODEL-03</t>
        </is>
      </c>
      <c r="B37" s="9" t="inlineStr">
        <is>
          <t>EP-05</t>
        </is>
      </c>
      <c r="C37" s="9" t="inlineStr">
        <is>
          <t>ST-501</t>
        </is>
      </c>
      <c r="D37" s="9" t="inlineStr">
        <is>
          <t>反馈、数据集与模型治理</t>
        </is>
      </c>
      <c r="E37" s="9" t="inlineStr">
        <is>
          <t>P0</t>
        </is>
      </c>
      <c r="F37" s="9" t="inlineStr">
        <is>
          <t>功能/集成</t>
        </is>
      </c>
      <c r="G37" s="8" t="inlineStr">
        <is>
          <t>反馈/数据集/模型管理权限就绪；训练或评测依赖按用例准备</t>
        </is>
      </c>
      <c r="H37" s="8" t="inlineStr">
        <is>
          <t>不可变数据集与隔离切分</t>
        </is>
      </c>
      <c r="I37" s="8" t="inlineStr">
        <is>
          <t>生成 JSONL 后校验 SHA-256；尝试修改；检查 train/validation/test 的实体或会话交集。</t>
        </is>
      </c>
      <c r="J37" s="8" t="inlineStr">
        <is>
          <t>数据集不可原地修改；hash、样本量、来源可追溯；切分无会话/实体泄漏和重复。</t>
        </is>
      </c>
      <c r="K37" s="8" t="inlineStr">
        <is>
          <t>已执行自动化验证</t>
        </is>
      </c>
      <c r="L37" s="8" t="inlineStr">
        <is>
          <t>backend/tests/test_feedback_*；test_dataset_builder.py；test_train_lora.py；test_governance_*；前端模型/反馈组件测试</t>
        </is>
      </c>
      <c r="M37" s="8" t="inlineStr">
        <is>
          <t>test_code/run_project_test_cases.py（调用项目原生自动化证据）</t>
        </is>
      </c>
      <c r="N37" s="30" t="inlineStr">
        <is>
          <t>通过</t>
        </is>
      </c>
      <c r="O37" s="11" t="n"/>
      <c r="P37" s="13" t="inlineStr">
        <is>
          <t>模型治理后端 202 条、前端 10 条通过；见 functional/14~15。</t>
        </is>
      </c>
    </row>
    <row r="38" ht="96" customHeight="1" s="29">
      <c r="A38" s="12" t="inlineStr">
        <is>
          <t>MODEL-04</t>
        </is>
      </c>
      <c r="B38" s="9" t="inlineStr">
        <is>
          <t>EP-05</t>
        </is>
      </c>
      <c r="C38" s="9" t="inlineStr">
        <is>
          <t>ST-502</t>
        </is>
      </c>
      <c r="D38" s="9" t="inlineStr">
        <is>
          <t>反馈、数据集与模型治理</t>
        </is>
      </c>
      <c r="E38" s="9" t="inlineStr">
        <is>
          <t>P1</t>
        </is>
      </c>
      <c r="F38" s="9" t="inlineStr">
        <is>
          <t>功能/集成</t>
        </is>
      </c>
      <c r="G38" s="8" t="inlineStr">
        <is>
          <t>反馈/数据集/模型管理权限就绪；训练或评测依赖按用例准备</t>
        </is>
      </c>
      <c r="H38" s="8" t="inlineStr">
        <is>
          <t>LoRA 可复现训练与产物完整性</t>
        </is>
      </c>
      <c r="I38" s="8" t="inlineStr">
        <is>
          <t>固定代码、基础模型 revision、数据集 hash、随机种子和超参数运行 CPU smoke/正式训练。</t>
        </is>
      </c>
      <c r="J38" s="8" t="inlineStr">
        <is>
          <t>生成日志、checkpoint、adapter、tokenizer 配置和 SHA-256；同配置关键指标在允许误差内复现。</t>
        </is>
      </c>
      <c r="K38" s="8" t="inlineStr">
        <is>
          <t>已执行自动化验证</t>
        </is>
      </c>
      <c r="L38" s="8" t="inlineStr">
        <is>
          <t>backend/tests/test_feedback_*；test_dataset_builder.py；test_train_lora.py；test_governance_*；前端模型/反馈组件测试</t>
        </is>
      </c>
      <c r="M38" s="8" t="inlineStr">
        <is>
          <t>test_code/run_project_test_cases.py（调用项目原生自动化证据）</t>
        </is>
      </c>
      <c r="N38" s="31" t="inlineStr">
        <is>
          <t>阻塞</t>
        </is>
      </c>
      <c r="O38" s="11" t="inlineStr">
        <is>
          <t>BLOCK-MODEL-ARTIFACT-001</t>
        </is>
      </c>
      <c r="P38" s="13" t="inlineStr">
        <is>
          <t>训练配置/任务逻辑自动化已通过，但 33 条实际产物校验因缺少 smoke-001、smoke-002、lora-001 及 peft/datasets/accelerate 而跳过；需完成两次 smoke 与一次正式 LoRA 训练后复跑 test_train_lora_artifacts.py。</t>
        </is>
      </c>
    </row>
    <row r="39" ht="96" customHeight="1" s="29">
      <c r="A39" s="12" t="inlineStr">
        <is>
          <t>MODEL-05</t>
        </is>
      </c>
      <c r="B39" s="9" t="inlineStr">
        <is>
          <t>EP-05</t>
        </is>
      </c>
      <c r="C39" s="9" t="inlineStr">
        <is>
          <t>ST-502</t>
        </is>
      </c>
      <c r="D39" s="9" t="inlineStr">
        <is>
          <t>反馈、数据集与模型治理</t>
        </is>
      </c>
      <c r="E39" s="9" t="inlineStr">
        <is>
          <t>P0</t>
        </is>
      </c>
      <c r="F39" s="9" t="inlineStr">
        <is>
          <t>功能/集成</t>
        </is>
      </c>
      <c r="G39" s="8" t="inlineStr">
        <is>
          <t>反馈/数据集/模型管理权限就绪；训练或评测依赖按用例准备</t>
        </is>
      </c>
      <c r="H39" s="8" t="inlineStr">
        <is>
          <t>仅 APPROVED 模型可部署</t>
        </is>
      </c>
      <c r="I39" s="8" t="inlineStr">
        <is>
          <t>对 DRAFT、EVALUATING、REJECTED、APPROVED 状态分别发起部署。</t>
        </is>
      </c>
      <c r="J39" s="8" t="inlineStr">
        <is>
          <t>仅 APPROVED 成功；非法状态返回 409；所有尝试记录操作者、版本、时间和结果。</t>
        </is>
      </c>
      <c r="K39" s="8" t="inlineStr">
        <is>
          <t>已执行自动化验证</t>
        </is>
      </c>
      <c r="L39" s="8" t="inlineStr">
        <is>
          <t>backend/tests/test_feedback_*；test_dataset_builder.py；test_train_lora.py；test_governance_*；前端模型/反馈组件测试</t>
        </is>
      </c>
      <c r="M39" s="8" t="inlineStr">
        <is>
          <t>test_code/run_project_test_cases.py（调用项目原生自动化证据）</t>
        </is>
      </c>
      <c r="N39" s="30" t="inlineStr">
        <is>
          <t>通过</t>
        </is>
      </c>
      <c r="O39" s="11" t="n"/>
      <c r="P39" s="13" t="inlineStr">
        <is>
          <t>模型治理后端 202 条、前端 10 条通过；见 functional/14~15。</t>
        </is>
      </c>
    </row>
    <row r="40" ht="96" customHeight="1" s="29">
      <c r="A40" s="12" t="inlineStr">
        <is>
          <t>MODEL-06</t>
        </is>
      </c>
      <c r="B40" s="9" t="inlineStr">
        <is>
          <t>EP-05</t>
        </is>
      </c>
      <c r="C40" s="9" t="inlineStr">
        <is>
          <t>ST-502</t>
        </is>
      </c>
      <c r="D40" s="9" t="inlineStr">
        <is>
          <t>反馈、数据集与模型治理</t>
        </is>
      </c>
      <c r="E40" s="9" t="inlineStr">
        <is>
          <t>P0</t>
        </is>
      </c>
      <c r="F40" s="9" t="inlineStr">
        <is>
          <t>功能/集成</t>
        </is>
      </c>
      <c r="G40" s="8" t="inlineStr">
        <is>
          <t>反馈/数据集/模型管理权限就绪；训练或评测依赖按用例准备</t>
        </is>
      </c>
      <c r="H40" s="8" t="inlineStr">
        <is>
          <t>灰度比例与单一全量 ACTIVE</t>
        </is>
      </c>
      <c r="I40" s="8" t="inlineStr">
        <is>
          <t>设置 0、边界、超 100 的灰度比例；并发发布两个全量版本。</t>
        </is>
      </c>
      <c r="J40" s="8" t="inlineStr">
        <is>
          <t>比例校验生效；同一场景灰度总量不超 100；最多一个全量 ACTIVE，冲突失败关闭。</t>
        </is>
      </c>
      <c r="K40" s="8" t="inlineStr">
        <is>
          <t>已执行自动化验证</t>
        </is>
      </c>
      <c r="L40" s="8" t="inlineStr">
        <is>
          <t>backend/tests/test_feedback_*；test_dataset_builder.py；test_train_lora.py；test_governance_*；前端模型/反馈组件测试</t>
        </is>
      </c>
      <c r="M40" s="8" t="inlineStr">
        <is>
          <t>test_code/run_project_test_cases.py（调用项目原生自动化证据）</t>
        </is>
      </c>
      <c r="N40" s="30" t="inlineStr">
        <is>
          <t>通过</t>
        </is>
      </c>
      <c r="O40" s="11" t="n"/>
      <c r="P40" s="13" t="inlineStr">
        <is>
          <t>模型治理后端 202 条、前端 10 条通过；见 functional/14~15。</t>
        </is>
      </c>
    </row>
    <row r="41" ht="96" customHeight="1" s="29">
      <c r="A41" s="12" t="inlineStr">
        <is>
          <t>MODEL-07</t>
        </is>
      </c>
      <c r="B41" s="9" t="inlineStr">
        <is>
          <t>EP-05</t>
        </is>
      </c>
      <c r="C41" s="9" t="inlineStr">
        <is>
          <t>ST-502</t>
        </is>
      </c>
      <c r="D41" s="9" t="inlineStr">
        <is>
          <t>反馈、数据集与模型治理</t>
        </is>
      </c>
      <c r="E41" s="9" t="inlineStr">
        <is>
          <t>P0</t>
        </is>
      </c>
      <c r="F41" s="9" t="inlineStr">
        <is>
          <t>功能/集成</t>
        </is>
      </c>
      <c r="G41" s="8" t="inlineStr">
        <is>
          <t>反馈/数据集/模型管理权限就绪；训练或评测依赖按用例准备</t>
        </is>
      </c>
      <c r="H41" s="8" t="inlineStr">
        <is>
          <t>模型回滚与路由切换审计</t>
        </is>
      </c>
      <c r="I41" s="8" t="inlineStr">
        <is>
          <t>从当前活动版本回滚上一稳定版本；发起新请求并查询部署/审计记录。</t>
        </is>
      </c>
      <c r="J41" s="8" t="inlineStr">
        <is>
          <t>新请求路由到稳定版本；旧请求不被篡改；产生 ROLLBACK 审计；失败回滚保持原活动版本。</t>
        </is>
      </c>
      <c r="K41" s="8" t="inlineStr">
        <is>
          <t>已执行自动化验证</t>
        </is>
      </c>
      <c r="L41" s="8" t="inlineStr">
        <is>
          <t>backend/tests/test_feedback_*；test_dataset_builder.py；test_train_lora.py；test_governance_*；前端模型/反馈组件测试</t>
        </is>
      </c>
      <c r="M41" s="8" t="inlineStr">
        <is>
          <t>test_code/run_project_test_cases.py（调用项目原生自动化证据）</t>
        </is>
      </c>
      <c r="N41" s="30" t="inlineStr">
        <is>
          <t>通过</t>
        </is>
      </c>
      <c r="O41" s="11" t="n"/>
      <c r="P41" s="13" t="inlineStr">
        <is>
          <t>模型治理后端 202 条、前端 10 条通过；见 functional/14~15。</t>
        </is>
      </c>
    </row>
    <row r="42" ht="96" customHeight="1" s="29">
      <c r="A42" s="12" t="inlineStr">
        <is>
          <t>UI-01</t>
        </is>
      </c>
      <c r="B42" s="9" t="inlineStr">
        <is>
          <t>EP-06</t>
        </is>
      </c>
      <c r="C42" s="9" t="inlineStr">
        <is>
          <t>ST-601</t>
        </is>
      </c>
      <c r="D42" s="9" t="inlineStr">
        <is>
          <t>前端路由、管理与体验</t>
        </is>
      </c>
      <c r="E42" s="9" t="inlineStr">
        <is>
          <t>P0</t>
        </is>
      </c>
      <c r="F42" s="9" t="inlineStr">
        <is>
          <t>功能/集成</t>
        </is>
      </c>
      <c r="G42" s="8" t="inlineStr">
        <is>
          <t>前端与 API 可访问；准备游客及各角色会话；Chromium 可用</t>
        </is>
      </c>
      <c r="H42" s="8" t="inlineStr">
        <is>
          <t>游客只读发现页</t>
        </is>
      </c>
      <c r="I42" s="8" t="inlineStr">
        <is>
          <t>清空令牌访问 /；尝试进入 /app/reviews、/merchant、/admin。</t>
        </is>
      </c>
      <c r="J42" s="8" t="inlineStr">
        <is>
          <t>发现页可只读；受保护路由跳转登录并保留安全 redirect；不能通过前端直达获得数据。</t>
        </is>
      </c>
      <c r="K42" s="8" t="inlineStr">
        <is>
          <t>已执行自动化验证</t>
        </is>
      </c>
      <c r="L42" s="8" t="inlineStr">
        <is>
          <t>frontend/src/router、utils、responsive-layout.test.ts；frontend/e2e/responsive-user-workspace.spec.ts</t>
        </is>
      </c>
      <c r="M42" s="8" t="inlineStr">
        <is>
          <t>test_code/run_project_test_cases.py（调用项目原生自动化证据）</t>
        </is>
      </c>
      <c r="N42" s="30" t="inlineStr">
        <is>
          <t>通过</t>
        </is>
      </c>
      <c r="O42" s="11" t="n"/>
      <c r="P42" s="13" t="inlineStr">
        <is>
          <t>UI 单元 12 条、响应式 Playwright 2 条及全量前端 136 条通过；见 functional/16~17、full-validation/02。</t>
        </is>
      </c>
    </row>
    <row r="43" ht="96" customHeight="1" s="29">
      <c r="A43" s="12" t="inlineStr">
        <is>
          <t>UI-02</t>
        </is>
      </c>
      <c r="B43" s="9" t="inlineStr">
        <is>
          <t>EP-06</t>
        </is>
      </c>
      <c r="C43" s="9" t="inlineStr">
        <is>
          <t>ST-601</t>
        </is>
      </c>
      <c r="D43" s="9" t="inlineStr">
        <is>
          <t>前端路由、管理与体验</t>
        </is>
      </c>
      <c r="E43" s="9" t="inlineStr">
        <is>
          <t>P0</t>
        </is>
      </c>
      <c r="F43" s="9" t="inlineStr">
        <is>
          <t>功能/集成</t>
        </is>
      </c>
      <c r="G43" s="8" t="inlineStr">
        <is>
          <t>前端与 API 可访问；准备游客及各角色会话；Chromium 可用</t>
        </is>
      </c>
      <c r="H43" s="8" t="inlineStr">
        <is>
          <t>角色路由守卫与安全重定向</t>
        </is>
      </c>
      <c r="I43" s="8" t="inlineStr">
        <is>
          <t>分别使用 USER、MERCHANT、各 ADMIN 角色访问所有页面；传入 //evil 或外部 redirect。</t>
        </is>
      </c>
      <c r="J43" s="8" t="inlineStr">
        <is>
          <t>角色进入正确工作台；无权页面回到角色主页；只接受站内单斜杠路径，阻断开放重定向。</t>
        </is>
      </c>
      <c r="K43" s="8" t="inlineStr">
        <is>
          <t>已执行自动化验证</t>
        </is>
      </c>
      <c r="L43" s="8" t="inlineStr">
        <is>
          <t>frontend/src/router、utils、responsive-layout.test.ts；frontend/e2e/responsive-user-workspace.spec.ts</t>
        </is>
      </c>
      <c r="M43" s="8" t="inlineStr">
        <is>
          <t>test_code/run_project_test_cases.py（调用项目原生自动化证据）</t>
        </is>
      </c>
      <c r="N43" s="30" t="inlineStr">
        <is>
          <t>通过</t>
        </is>
      </c>
      <c r="O43" s="11" t="n"/>
      <c r="P43" s="13" t="inlineStr">
        <is>
          <t>UI 单元 12 条、响应式 Playwright 2 条及全量前端 136 条通过；见 functional/16~17、full-validation/02。</t>
        </is>
      </c>
    </row>
    <row r="44" ht="96" customHeight="1" s="29">
      <c r="A44" s="12" t="inlineStr">
        <is>
          <t>UI-03</t>
        </is>
      </c>
      <c r="B44" s="9" t="inlineStr">
        <is>
          <t>EP-06</t>
        </is>
      </c>
      <c r="C44" s="9" t="inlineStr">
        <is>
          <t>ST-601</t>
        </is>
      </c>
      <c r="D44" s="9" t="inlineStr">
        <is>
          <t>前端路由、管理与体验</t>
        </is>
      </c>
      <c r="E44" s="9" t="inlineStr">
        <is>
          <t>P1</t>
        </is>
      </c>
      <c r="F44" s="9" t="inlineStr">
        <is>
          <t>兼容/响应式</t>
        </is>
      </c>
      <c r="G44" s="8" t="inlineStr">
        <is>
          <t>前端与 API 可访问；准备游客及各角色会话；Chromium 可用</t>
        </is>
      </c>
      <c r="H44" s="8" t="inlineStr">
        <is>
          <t>桌面与移动端核心流程</t>
        </is>
      </c>
      <c r="I44" s="8" t="inlineStr">
        <is>
          <t>在 1440×900、1024×768、390×844 视口执行登录、对话、上传、图表和任务操作。</t>
        </is>
      </c>
      <c r="J44" s="8" t="inlineStr">
        <is>
          <t>无横向溢出、遮挡、重叠或不可点击控件；表格/图表可读；核心命令在首屏或可预测位置。</t>
        </is>
      </c>
      <c r="K44" s="8" t="inlineStr">
        <is>
          <t>已执行自动化验证</t>
        </is>
      </c>
      <c r="L44" s="8" t="inlineStr">
        <is>
          <t>frontend/src/router、utils、responsive-layout.test.ts；frontend/e2e/responsive-user-workspace.spec.ts</t>
        </is>
      </c>
      <c r="M44" s="8" t="inlineStr">
        <is>
          <t>test_code/run_project_test_cases.py（调用项目原生自动化证据）</t>
        </is>
      </c>
      <c r="N44" s="30" t="inlineStr">
        <is>
          <t>通过</t>
        </is>
      </c>
      <c r="O44" s="11" t="n"/>
      <c r="P44" s="13" t="inlineStr">
        <is>
          <t>UI 单元 12 条、响应式 Playwright 2 条及全量前端 136 条通过；见 functional/16~17、full-validation/02。</t>
        </is>
      </c>
    </row>
    <row r="45" ht="96" customHeight="1" s="29">
      <c r="A45" s="12" t="inlineStr">
        <is>
          <t>UI-04</t>
        </is>
      </c>
      <c r="B45" s="9" t="inlineStr">
        <is>
          <t>EP-06</t>
        </is>
      </c>
      <c r="C45" s="9" t="inlineStr">
        <is>
          <t>ST-601</t>
        </is>
      </c>
      <c r="D45" s="9" t="inlineStr">
        <is>
          <t>前端路由、管理与体验</t>
        </is>
      </c>
      <c r="E45" s="9" t="inlineStr">
        <is>
          <t>P0</t>
        </is>
      </c>
      <c r="F45" s="9" t="inlineStr">
        <is>
          <t>安全/异常</t>
        </is>
      </c>
      <c r="G45" s="8" t="inlineStr">
        <is>
          <t>前端与 API 可访问；准备游客及各角色会话；Chromium 可用</t>
        </is>
      </c>
      <c r="H45" s="8" t="inlineStr">
        <is>
          <t>Markdown 与引用内容安全</t>
        </is>
      </c>
      <c r="I45" s="8" t="inlineStr">
        <is>
          <t>返回脚本、事件属性、javascript URL、恶意 HTML、超长链接和正常 Markdown。</t>
        </is>
      </c>
      <c r="J45" s="8" t="inlineStr">
        <is>
          <t>原始 HTML/脚本不执行；危险 URL 被移除；正常列表、代码和引用可读；来源跳转仍受控。</t>
        </is>
      </c>
      <c r="K45" s="8" t="inlineStr">
        <is>
          <t>已执行自动化验证</t>
        </is>
      </c>
      <c r="L45" s="8" t="inlineStr">
        <is>
          <t>frontend/src/router、utils、responsive-layout.test.ts；frontend/e2e/responsive-user-workspace.spec.ts</t>
        </is>
      </c>
      <c r="M45" s="8" t="inlineStr">
        <is>
          <t>test_code/run_project_test_cases.py（调用项目原生自动化证据）</t>
        </is>
      </c>
      <c r="N45" s="30" t="inlineStr">
        <is>
          <t>通过</t>
        </is>
      </c>
      <c r="O45" s="11" t="n"/>
      <c r="P45" s="13" t="inlineStr">
        <is>
          <t>UI 单元 12 条、响应式 Playwright 2 条及全量前端 136 条通过；见 functional/16~17、full-validation/02。</t>
        </is>
      </c>
    </row>
    <row r="46" ht="96" customHeight="1" s="29">
      <c r="A46" s="12" t="inlineStr">
        <is>
          <t>UI-05</t>
        </is>
      </c>
      <c r="B46" s="9" t="inlineStr">
        <is>
          <t>EP-06</t>
        </is>
      </c>
      <c r="C46" s="9" t="inlineStr">
        <is>
          <t>ST-601</t>
        </is>
      </c>
      <c r="D46" s="9" t="inlineStr">
        <is>
          <t>前端路由、管理与体验</t>
        </is>
      </c>
      <c r="E46" s="9" t="inlineStr">
        <is>
          <t>P1</t>
        </is>
      </c>
      <c r="F46" s="9" t="inlineStr">
        <is>
          <t>功能/集成</t>
        </is>
      </c>
      <c r="G46" s="8" t="inlineStr">
        <is>
          <t>前端与 API 可访问；准备游客及各角色会话；Chromium 可用</t>
        </is>
      </c>
      <c r="H46" s="8" t="inlineStr">
        <is>
          <t>Token 刷新、服务不可用与恢复</t>
        </is>
      </c>
      <c r="I46" s="8" t="inlineStr">
        <is>
          <t>模拟 Token 临期、刷新失败、API 503、WebSocket 断开和恢复。</t>
        </is>
      </c>
      <c r="J46" s="8" t="inlineStr">
        <is>
          <t>临期自动刷新；失败清理会话并回登录；依赖故障展示服务不可用页；恢复后可重试且不重复提交。</t>
        </is>
      </c>
      <c r="K46" s="8" t="inlineStr">
        <is>
          <t>已执行自动化验证</t>
        </is>
      </c>
      <c r="L46" s="8" t="inlineStr">
        <is>
          <t>frontend/src/router、utils、responsive-layout.test.ts；frontend/e2e/responsive-user-workspace.spec.ts</t>
        </is>
      </c>
      <c r="M46" s="8" t="inlineStr">
        <is>
          <t>test_code/run_project_test_cases.py（调用项目原生自动化证据）</t>
        </is>
      </c>
      <c r="N46" s="30" t="inlineStr">
        <is>
          <t>通过</t>
        </is>
      </c>
      <c r="O46" s="11" t="n"/>
      <c r="P46" s="13" t="inlineStr">
        <is>
          <t>UI 单元 12 条、响应式 Playwright 2 条及全量前端 136 条通过；见 functional/16~17、full-validation/02。</t>
        </is>
      </c>
    </row>
    <row r="47" ht="96" customHeight="1" s="29">
      <c r="A47" s="12" t="inlineStr">
        <is>
          <t>ADMIN-01</t>
        </is>
      </c>
      <c r="B47" s="9" t="inlineStr">
        <is>
          <t>EP-06</t>
        </is>
      </c>
      <c r="C47" s="9" t="inlineStr">
        <is>
          <t>ST-602</t>
        </is>
      </c>
      <c r="D47" s="9" t="inlineStr">
        <is>
          <t>前端路由、管理与体验</t>
        </is>
      </c>
      <c r="E47" s="9" t="inlineStr">
        <is>
          <t>P1</t>
        </is>
      </c>
      <c r="F47" s="9" t="inlineStr">
        <is>
          <t>功能/集成</t>
        </is>
      </c>
      <c r="G47" s="8" t="inlineStr">
        <is>
          <t>知识库管理员已登录；知识库、文档、异步任务与检索调试数据就绪</t>
        </is>
      </c>
      <c r="H47" s="8" t="inlineStr">
        <is>
          <t>知识库管理与任务追踪完整体验</t>
        </is>
      </c>
      <c r="I47" s="8" t="inlineStr">
        <is>
          <t>在管理端执行知识库分页/筛选/编辑、批量上传前校验、文档与 Chunk 预览、版本回滚、任务进度/取消/失败重试及检索调试；再以无授权账号直达页面和接口。</t>
        </is>
      </c>
      <c r="J47" s="8" t="inlineStr">
        <is>
          <t>列表与详情统计一致；上传校验和逐文件/总进度清晰；危险操作二次确认；失败任务显示错误码、阶段和可重试入口；检索调试展示过滤、双路得分、融合排序与引用；无授权页面不可见且接口返回 403。</t>
        </is>
      </c>
      <c r="K47" s="8" t="inlineStr">
        <is>
          <t>已执行自动化验证</t>
        </is>
      </c>
      <c r="L47" s="8" t="inlineStr">
        <is>
          <t>frontend/src/views/admin/KnowledgeBase*View.test.ts；DocumentUploadPanel、KnowledgeDocumentWorkspace、TaskProgressCard 与对应 API 测试</t>
        </is>
      </c>
      <c r="M47" s="8" t="inlineStr">
        <is>
          <t>test_code/run_project_test_cases.py（调用项目原生自动化证据）</t>
        </is>
      </c>
      <c r="N47" s="30" t="inlineStr">
        <is>
          <t>通过</t>
        </is>
      </c>
      <c r="O47" s="11" t="n"/>
      <c r="P47" s="13" t="inlineStr">
        <is>
          <t>管理端 25 条及管理员上传/失败重试 E2E 通过；见 functional/18、acceptance/02。</t>
        </is>
      </c>
    </row>
    <row r="48" ht="96" customHeight="1" s="29">
      <c r="A48" s="12" t="inlineStr">
        <is>
          <t>OPS-01</t>
        </is>
      </c>
      <c r="B48" s="9" t="inlineStr">
        <is>
          <t>EP-07</t>
        </is>
      </c>
      <c r="C48" s="9" t="inlineStr">
        <is>
          <t>ST-701</t>
        </is>
      </c>
      <c r="D48" s="9" t="inlineStr">
        <is>
          <t>部署、质量、验收与恢复</t>
        </is>
      </c>
      <c r="E48" s="9" t="inlineStr">
        <is>
          <t>P0</t>
        </is>
      </c>
      <c r="F48" s="9" t="inlineStr">
        <is>
          <t>功能/集成</t>
        </is>
      </c>
      <c r="G48" s="8" t="inlineStr">
        <is>
          <t>发布候选 Commit 固定；按用例准备完整 Compose、备份或压测环境</t>
        </is>
      </c>
      <c r="H48" s="8" t="inlineStr">
        <is>
          <t>全新环境一键启动</t>
        </is>
      </c>
      <c r="I48" s="8" t="inlineStr">
        <is>
          <t>复制安全环境配置，在空业务卷执行 docker compose up --build --wait。</t>
        </is>
      </c>
      <c r="J48" s="8" t="inlineStr">
        <is>
          <t>migrate→init→seed→api/worker 顺序正确；常驻服务 healthy；一次性任务 Exited(0)；确定性数据可用。</t>
        </is>
      </c>
      <c r="K48" s="8" t="inlineStr">
        <is>
          <t>已执行自动化验证</t>
        </is>
      </c>
      <c r="L48" s="8" t="inlineStr">
        <is>
          <t>compose.yaml；.github/workflows/ci.yml；test_health.py；test_observability.py；test_storage_recovery.py；test_performance_gate.py；专项脚本</t>
        </is>
      </c>
      <c r="M48" s="8" t="inlineStr">
        <is>
          <t>test_code/run_project_test_cases.py（调用项目原生自动化证据）</t>
        </is>
      </c>
      <c r="N48" s="30" t="inlineStr">
        <is>
          <t>通过</t>
        </is>
      </c>
      <c r="O48" s="11" t="n"/>
      <c r="P48" s="13" t="inlineStr">
        <is>
          <t>Compose、运维单元、黑盒冒烟均通过；见 functional/19~21、acceptance/03。</t>
        </is>
      </c>
    </row>
    <row r="49" ht="96" customHeight="1" s="29">
      <c r="A49" s="12" t="inlineStr">
        <is>
          <t>OPS-02</t>
        </is>
      </c>
      <c r="B49" s="9" t="inlineStr">
        <is>
          <t>EP-07</t>
        </is>
      </c>
      <c r="C49" s="9" t="inlineStr">
        <is>
          <t>ST-701</t>
        </is>
      </c>
      <c r="D49" s="9" t="inlineStr">
        <is>
          <t>部署、质量、验收与恢复</t>
        </is>
      </c>
      <c r="E49" s="9" t="inlineStr">
        <is>
          <t>P0</t>
        </is>
      </c>
      <c r="F49" s="9" t="inlineStr">
        <is>
          <t>功能/集成</t>
        </is>
      </c>
      <c r="G49" s="8" t="inlineStr">
        <is>
          <t>发布候选 Commit 固定；按用例准备完整 Compose、备份或压测环境</t>
        </is>
      </c>
      <c r="H49" s="8" t="inlineStr">
        <is>
          <t>存活/就绪与依赖故障</t>
        </is>
      </c>
      <c r="I49" s="8" t="inlineStr">
        <is>
          <t>访问 /health/live、/health/ready；分别中断 MySQL、Redis、OpenSearch、模型网关。</t>
        </is>
      </c>
      <c r="J49" s="8" t="inlineStr">
        <is>
          <t>live 仅反映进程；ready 并行检查依赖，任一失败返回 503 和逐项状态；恢复后重新 ready。</t>
        </is>
      </c>
      <c r="K49" s="8" t="inlineStr">
        <is>
          <t>已执行自动化验证</t>
        </is>
      </c>
      <c r="L49" s="8" t="inlineStr">
        <is>
          <t>compose.yaml；.github/workflows/ci.yml；test_health.py；test_observability.py；test_storage_recovery.py；test_performance_gate.py；专项脚本</t>
        </is>
      </c>
      <c r="M49" s="8" t="inlineStr">
        <is>
          <t>test_code/test_release_candidate_smoke.py</t>
        </is>
      </c>
      <c r="N49" s="30" t="inlineStr">
        <is>
          <t>通过</t>
        </is>
      </c>
      <c r="O49" s="11" t="n"/>
      <c r="P49" s="13" t="inlineStr">
        <is>
          <t>Compose、运维单元、黑盒冒烟均通过；见 functional/19~21、acceptance/03。</t>
        </is>
      </c>
    </row>
    <row r="50" ht="96" customHeight="1" s="29">
      <c r="A50" s="12" t="inlineStr">
        <is>
          <t>OPS-03</t>
        </is>
      </c>
      <c r="B50" s="9" t="inlineStr">
        <is>
          <t>EP-07</t>
        </is>
      </c>
      <c r="C50" s="9" t="inlineStr">
        <is>
          <t>ST-701</t>
        </is>
      </c>
      <c r="D50" s="9" t="inlineStr">
        <is>
          <t>部署、质量、验收与恢复</t>
        </is>
      </c>
      <c r="E50" s="9" t="inlineStr">
        <is>
          <t>P0</t>
        </is>
      </c>
      <c r="F50" s="9" t="inlineStr">
        <is>
          <t>协议/集成</t>
        </is>
      </c>
      <c r="G50" s="8" t="inlineStr">
        <is>
          <t>发布候选 Commit 固定；按用例准备完整 Compose、备份或压测环境</t>
        </is>
      </c>
      <c r="H50" s="8" t="inlineStr">
        <is>
          <t>Nginx 代理 REST/SSE/WebSocket</t>
        </is>
      </c>
      <c r="I50" s="8" t="inlineStr">
        <is>
          <t>经 3000 入口调用 REST、长 SSE 和 WebSocket；检查 Upgrade、超时、缓存与响应缓冲。</t>
        </is>
      </c>
      <c r="J50" s="8" t="inlineStr">
        <is>
          <t>三类协议正常；SSE 数据帧及时到达且不缓存/缓冲；WebSocket 升级成功；安全头和错误契约保留。</t>
        </is>
      </c>
      <c r="K50" s="8" t="inlineStr">
        <is>
          <t>已执行自动化验证</t>
        </is>
      </c>
      <c r="L50" s="8" t="inlineStr">
        <is>
          <t>compose.yaml；.github/workflows/ci.yml；test_health.py；test_observability.py；test_storage_recovery.py；test_performance_gate.py；专项脚本</t>
        </is>
      </c>
      <c r="M50" s="8" t="inlineStr">
        <is>
          <t>test_code/test_release_candidate_smoke.py</t>
        </is>
      </c>
      <c r="N50" s="30" t="inlineStr">
        <is>
          <t>通过</t>
        </is>
      </c>
      <c r="O50" s="11" t="n"/>
      <c r="P50" s="13" t="inlineStr">
        <is>
          <t>Compose、运维单元、黑盒冒烟均通过；见 functional/19~21、acceptance/03。</t>
        </is>
      </c>
    </row>
    <row r="51" ht="96" customHeight="1" s="29">
      <c r="A51" s="12" t="inlineStr">
        <is>
          <t>OPS-04</t>
        </is>
      </c>
      <c r="B51" s="9" t="inlineStr">
        <is>
          <t>EP-07</t>
        </is>
      </c>
      <c r="C51" s="9" t="inlineStr">
        <is>
          <t>ST-701</t>
        </is>
      </c>
      <c r="D51" s="9" t="inlineStr">
        <is>
          <t>部署、质量、验收与恢复</t>
        </is>
      </c>
      <c r="E51" s="9" t="inlineStr">
        <is>
          <t>P0</t>
        </is>
      </c>
      <c r="F51" s="9" t="inlineStr">
        <is>
          <t>功能/集成</t>
        </is>
      </c>
      <c r="G51" s="8" t="inlineStr">
        <is>
          <t>发布候选 Commit 固定；按用例准备完整 Compose、备份或压测环境</t>
        </is>
      </c>
      <c r="H51" s="8" t="inlineStr">
        <is>
          <t>CI 质量门禁失败关闭</t>
        </is>
      </c>
      <c r="I51" s="8" t="inlineStr">
        <is>
          <t>分别制造后端 lint/test/覆盖率、空库迁移、前端 audit/lint/test/build、Compose 策略或镜像构建失败。</t>
        </is>
      </c>
      <c r="J51" s="8" t="inlineStr">
        <is>
          <t>对应 job 失败；quality-gate 拒绝通过；覆盖率产物按 Commit 归档；不能以其他 job 成功掩盖失败。</t>
        </is>
      </c>
      <c r="K51" s="8" t="inlineStr">
        <is>
          <t>已执行自动化验证</t>
        </is>
      </c>
      <c r="L51" s="8" t="inlineStr">
        <is>
          <t>compose.yaml；.github/workflows/ci.yml；test_health.py；test_observability.py；test_storage_recovery.py；test_performance_gate.py；专项脚本</t>
        </is>
      </c>
      <c r="M51" s="8" t="inlineStr">
        <is>
          <t>test_code/run_project_test_cases.py（调用项目原生自动化证据）</t>
        </is>
      </c>
      <c r="N51" s="30" t="inlineStr">
        <is>
          <t>通过</t>
        </is>
      </c>
      <c r="O51" s="11" t="n"/>
      <c r="P51" s="13" t="inlineStr">
        <is>
          <t>Compose、运维单元、黑盒冒烟均通过；见 functional/19~21、acceptance/03。</t>
        </is>
      </c>
    </row>
    <row r="52" ht="96" customHeight="1" s="29">
      <c r="A52" s="17" t="inlineStr">
        <is>
          <t>OPS-05</t>
        </is>
      </c>
      <c r="B52" s="18" t="inlineStr">
        <is>
          <t>EP-07</t>
        </is>
      </c>
      <c r="C52" s="18" t="inlineStr">
        <is>
          <t>ST-701</t>
        </is>
      </c>
      <c r="D52" s="18" t="inlineStr">
        <is>
          <t>部署、质量、验收与恢复</t>
        </is>
      </c>
      <c r="E52" s="18" t="inlineStr">
        <is>
          <t>P0</t>
        </is>
      </c>
      <c r="F52" s="18" t="inlineStr">
        <is>
          <t>安全/异常</t>
        </is>
      </c>
      <c r="G52" s="19" t="inlineStr">
        <is>
          <t>发布候选 Commit 固定；按用例准备完整 Compose、备份或压测环境</t>
        </is>
      </c>
      <c r="H52" s="19" t="inlineStr">
        <is>
          <t>结构化日志与敏感信息保护</t>
        </is>
      </c>
      <c r="I52" s="19" t="inlineStr">
        <is>
          <t>触发登录、对话、上传、治理和错误路径；扫描日志、审计和错误响应。</t>
        </is>
      </c>
      <c r="J52" s="19" t="inlineStr">
        <is>
          <t>包含 request_id/user_id/conversation_id/latency_ms 等必要字段；不含密码、完整 Token/密钥、原始限流账号/IP 或敏感正文。</t>
        </is>
      </c>
      <c r="K52" s="19" t="inlineStr">
        <is>
          <t>已执行自动化验证</t>
        </is>
      </c>
      <c r="L52" s="19" t="inlineStr">
        <is>
          <t>compose.yaml；.github/workflows/ci.yml；test_health.py；test_observability.py；test_storage_recovery.py；test_performance_gate.py；专项脚本</t>
        </is>
      </c>
      <c r="M52" s="19" t="inlineStr">
        <is>
          <t>test_code/run_project_test_cases.py（调用项目原生自动化证据）</t>
        </is>
      </c>
      <c r="N52" s="32" t="inlineStr">
        <is>
          <t>通过</t>
        </is>
      </c>
      <c r="O52" s="20" t="n"/>
      <c r="P52" s="21" t="inlineStr">
        <is>
          <t>Compose、运维单元、黑盒冒烟均通过；见 functional/19~21、acceptance/03。</t>
        </is>
      </c>
    </row>
    <row r="53">
      <c r="A53" s="10" t="inlineStr">
        <is>
          <t>OPS-06</t>
        </is>
      </c>
      <c r="B53" s="10" t="inlineStr">
        <is>
          <t>EP-07</t>
        </is>
      </c>
      <c r="C53" s="10" t="inlineStr">
        <is>
          <t>ST-703</t>
        </is>
      </c>
      <c r="D53" s="10" t="inlineStr">
        <is>
          <t>部署、质量、验收与恢复</t>
        </is>
      </c>
      <c r="E53" s="10" t="inlineStr">
        <is>
          <t>P0</t>
        </is>
      </c>
      <c r="F53" s="10" t="inlineStr">
        <is>
          <t>恢复/一致性</t>
        </is>
      </c>
      <c r="G53" s="2" t="inlineStr">
        <is>
          <t>发布候选 Commit 固定；按用例准备完整 Compose、备份或压测环境</t>
        </is>
      </c>
      <c r="H53" s="2" t="inlineStr">
        <is>
          <t>备份恢复、Redis 回源与索引对账</t>
        </is>
      </c>
      <c r="I53" s="2" t="inlineStr">
        <is>
          <t>执行加密 MySQL 备份并恢复至隔离库；清空 Redis；注入索引缺失/重复/孤儿/漂移后重建。</t>
        </is>
      </c>
      <c r="J53" s="2" t="inlineStr">
        <is>
          <t>31 类事实表或当前迁移表逐表一致；MySQL 回源恢复消息并重填缓存；重建后五类差异为 0，事实库不被覆盖。</t>
        </is>
      </c>
      <c r="K53" s="2" t="inlineStr">
        <is>
          <t>已执行自动化验证</t>
        </is>
      </c>
      <c r="L53" s="2" t="inlineStr">
        <is>
          <t>compose.yaml；.github/workflows/ci.yml；test_health.py；test_observability.py；test_storage_recovery.py；test_performance_gate.py；专项脚本</t>
        </is>
      </c>
      <c r="M53" s="2" t="inlineStr">
        <is>
          <t>test_code/run_project_test_cases.py（调用项目原生自动化证据）</t>
        </is>
      </c>
      <c r="N53" s="33" t="inlineStr">
        <is>
          <t>通过</t>
        </is>
      </c>
      <c r="O53" s="10" t="n"/>
      <c r="P53" s="0" t="inlineStr">
        <is>
          <t>恢复演练通过：36 张表计数一致、OpenSearch 重建对账通过、Redis 清空后 MySQL 回源通过；见 recovery/summary.md。</t>
        </is>
      </c>
    </row>
    <row r="54">
      <c r="A54" s="10" t="inlineStr">
        <is>
          <t>OPS-07</t>
        </is>
      </c>
      <c r="B54" s="10" t="inlineStr">
        <is>
          <t>EP-07</t>
        </is>
      </c>
      <c r="C54" s="10" t="inlineStr">
        <is>
          <t>ST-703</t>
        </is>
      </c>
      <c r="D54" s="10" t="inlineStr">
        <is>
          <t>部署、质量、验收与恢复</t>
        </is>
      </c>
      <c r="E54" s="10" t="inlineStr">
        <is>
          <t>P0</t>
        </is>
      </c>
      <c r="F54" s="10" t="inlineStr">
        <is>
          <t>性能</t>
        </is>
      </c>
      <c r="G54" s="2" t="inlineStr">
        <is>
          <t>发布候选 Commit 固定；按用例准备完整 Compose、备份或压测环境</t>
        </is>
      </c>
      <c r="H54" s="2" t="inlineStr">
        <is>
          <t>性能门禁真实样本</t>
        </is>
      </c>
      <c r="I54" s="2" t="inlineStr">
        <is>
          <t>在完整 Compose 与确定性数据上运行 Locust：已鉴权 API、/api/v1/search、OpenAI SSE 首包。</t>
        </is>
      </c>
      <c r="J54" s="2" t="inlineStr">
        <is>
          <t>样本量满足配置、失败为 0；API P95&lt;500ms、检索 P95&lt;300ms、首包P95≤2000ms；缺样本或越界自动 FAIL。</t>
        </is>
      </c>
      <c r="K54" s="2" t="inlineStr">
        <is>
          <t>已执行自动化验证</t>
        </is>
      </c>
      <c r="L54" s="2" t="inlineStr">
        <is>
          <t>compose.yaml；.github/workflows/ci.yml；test_health.py；test_observability.py；test_storage_recovery.py；test_performance_gate.py；专项脚本</t>
        </is>
      </c>
      <c r="M54" s="2" t="inlineStr">
        <is>
          <t>test_code/run_project_test_cases.py（调用项目原生自动化证据）</t>
        </is>
      </c>
      <c r="N54" s="33" t="inlineStr">
        <is>
          <t>通过</t>
        </is>
      </c>
      <c r="O54" s="10" t="n"/>
      <c r="P54" s="0" t="inlineStr">
        <is>
          <t>性能门禁通过：3910 请求、0 失败；API/Search/TTFB P95 分别 58/180/99 ms；见 performance/gate-result.*。</t>
        </is>
      </c>
    </row>
    <row r="55">
      <c r="A55" s="10" t="inlineStr">
        <is>
          <t>E2E-01</t>
        </is>
      </c>
      <c r="B55" s="10" t="inlineStr">
        <is>
          <t>EP-07</t>
        </is>
      </c>
      <c r="C55" s="10" t="inlineStr">
        <is>
          <t>ST-702</t>
        </is>
      </c>
      <c r="D55" s="10" t="inlineStr">
        <is>
          <t>部署、质量、验收与恢复</t>
        </is>
      </c>
      <c r="E55" s="10" t="inlineStr">
        <is>
          <t>P0</t>
        </is>
      </c>
      <c r="F55" s="10" t="inlineStr">
        <is>
          <t>功能/集成</t>
        </is>
      </c>
      <c r="G55" s="2" t="inlineStr">
        <is>
          <t>发布候选 Commit 固定；空业务数据环境可初始化；Chromium 与完整 Compose 可用</t>
        </is>
      </c>
      <c r="H55" s="2" t="inlineStr">
        <is>
          <t>确定性数据与全角色核心链路三轮验收</t>
        </is>
      </c>
      <c r="I55" s="2" t="inlineStr">
        <is>
          <t>清空业务数据后重新初始化固定用户、角色、商家、点评、知识文档和问题集；运行管理员上传与索引、用户探店与引用、商家趋势、反馈、评测与模型回滚，并覆盖越权、无结果兜底和任务失败；在全新环境连续执行三轮。</t>
        </is>
      </c>
      <c r="J55" s="2" t="inlineStr">
        <is>
          <t>初始化结果稳定可重复；核心正向与错误链路全部通过；三轮结果一致；报告绑定环境、Commit、用例与结果，失败时保留截图/日志；演示脚本、时长、备用数据、模型降级方案和交付清单齐全。</t>
        </is>
      </c>
      <c r="K55" s="2" t="inlineStr">
        <is>
          <t>已执行自动化验证</t>
        </is>
      </c>
      <c r="L55" s="2" t="inlineStr">
        <is>
          <t>backend/tests/test_seed_demo_data.py；test_seed_merchant_data.py；frontend/e2e/st-702-core-flows.spec.ts；ST-702 验收报告</t>
        </is>
      </c>
      <c r="M55" s="2" t="inlineStr">
        <is>
          <t>test_code/run_project_test_cases.py（调用项目原生自动化证据）</t>
        </is>
      </c>
      <c r="N55" s="33" t="inlineStr">
        <is>
          <t>通过</t>
        </is>
      </c>
      <c r="O55" s="10" t="n"/>
      <c r="P55" s="0" t="inlineStr">
        <is>
          <t>确定性种子 11 条、桌面/移动核心角色链路 8 条通过；当前轮结果见 acceptance/，三轮全新环境沿用历史 TK-702-03 证据。</t>
        </is>
      </c>
    </row>
  </sheetData>
  <mergeCells count="6">
    <mergeCell ref="K2:P2"/>
    <mergeCell ref="A1:J1"/>
    <mergeCell ref="K1:P1"/>
    <mergeCell ref="K4:P4"/>
    <mergeCell ref="A4:J4"/>
    <mergeCell ref="A2:J2"/>
  </mergeCells>
  <dataValidations count="1">
    <dataValidation sqref="N7:N55" showDropDown="0" showInputMessage="1" showErrorMessage="1" allowBlank="1" type="list">
      <formula1>"未执行,通过,失败,阻塞,不适用"</formula1>
    </dataValidation>
  </dataValidations>
  <printOptions horizontalCentered="1"/>
  <pageMargins left="0.35" right="0.35" top="0.5" bottom="0.5" header="0.3" footer="0.3"/>
  <pageSetup orientation="landscape" scale="54" fitToHeight="0" fitToWidth="2" horizontalDpi="360" verticalDpi="360"/>
  <headerFooter>
    <oddHeader/>
    <oddFooter>&amp;LLocalLife Copilot&amp;C第 &amp;P 页 / 共 &amp;N 页&amp;R2026-07-26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style="29" min="1" max="1"/>
    <col width="16" customWidth="1" style="29" min="2" max="2"/>
    <col width="14" customWidth="1" style="29" min="3" max="3"/>
    <col width="10" customWidth="1" style="29" min="4" max="4"/>
    <col width="36" customWidth="1" style="29" min="5" max="5"/>
    <col width="58" customWidth="1" style="29" min="6" max="6"/>
  </cols>
  <sheetData>
    <row r="1" ht="34" customHeight="1" s="29">
      <c r="A1" s="34" t="inlineStr">
        <is>
          <t>LocalLife Copilot 本次完整执行结果</t>
        </is>
      </c>
    </row>
    <row r="2">
      <c r="A2" s="35" t="inlineStr">
        <is>
          <t>执行日期</t>
        </is>
      </c>
      <c r="B2" s="36" t="inlineStr">
        <is>
          <t>2026-07-26</t>
        </is>
      </c>
      <c r="C2" s="35" t="inlineStr">
        <is>
          <t>分支</t>
        </is>
      </c>
      <c r="D2" s="36" t="inlineStr">
        <is>
          <t>main</t>
        </is>
      </c>
      <c r="E2" s="35" t="inlineStr">
        <is>
          <t>Commit</t>
        </is>
      </c>
      <c r="F2" s="36" t="inlineStr">
        <is>
          <t>29b85eec13e27d958005c5952508b976c8241f70</t>
        </is>
      </c>
    </row>
    <row r="3">
      <c r="A3" s="35" t="inlineStr">
        <is>
          <t>工作区</t>
        </is>
      </c>
      <c r="B3" s="36" t="inlineStr">
        <is>
          <t>存在 14 项未提交改动</t>
        </is>
      </c>
      <c r="C3" s="35" t="inlineStr">
        <is>
          <t>用例结论</t>
        </is>
      </c>
      <c r="D3" s="36" t="inlineStr">
        <is>
          <t>48通过 / 1阻塞</t>
        </is>
      </c>
      <c r="E3" s="35" t="inlineStr">
        <is>
          <t>发布结论</t>
        </is>
      </c>
      <c r="F3" s="36" t="inlineStr">
        <is>
          <t>有条件通过</t>
        </is>
      </c>
    </row>
    <row r="5">
      <c r="A5" s="37" t="inlineStr">
        <is>
          <t>检查项</t>
        </is>
      </c>
      <c r="B5" s="37" t="inlineStr">
        <is>
          <t>结果</t>
        </is>
      </c>
      <c r="C5" s="37" t="inlineStr">
        <is>
          <t>通过/总数</t>
        </is>
      </c>
      <c r="D5" s="37" t="inlineStr">
        <is>
          <t>跳过</t>
        </is>
      </c>
      <c r="E5" s="37" t="inlineStr">
        <is>
          <t>关键指标</t>
        </is>
      </c>
      <c r="F5" s="37" t="inlineStr">
        <is>
          <t>证据位置</t>
        </is>
      </c>
    </row>
    <row r="6">
      <c r="A6" s="38" t="inlineStr">
        <is>
          <t>49条测试用例</t>
        </is>
      </c>
      <c r="B6" s="39" t="inlineStr">
        <is>
          <t>有条件通过</t>
        </is>
      </c>
      <c r="C6" s="38" t="inlineStr">
        <is>
          <t>48/49</t>
        </is>
      </c>
      <c r="D6" s="38" t="inlineStr">
        <is>
          <t>0</t>
        </is>
      </c>
      <c r="E6" s="38" t="inlineStr">
        <is>
          <t>MODEL-04 阻塞</t>
        </is>
      </c>
      <c r="F6" s="38" t="inlineStr">
        <is>
          <t>测试用例清单</t>
        </is>
      </c>
    </row>
    <row r="7">
      <c r="A7" s="38" t="inlineStr">
        <is>
          <t>功能/治理/运维分组</t>
        </is>
      </c>
      <c r="B7" s="40" t="inlineStr">
        <is>
          <t>PASS</t>
        </is>
      </c>
      <c r="C7" s="38" t="inlineStr">
        <is>
          <t>22/22</t>
        </is>
      </c>
      <c r="D7" s="38" t="inlineStr">
        <is>
          <t>0</t>
        </is>
      </c>
      <c r="E7" s="38" t="inlineStr">
        <is>
          <t>22个命令级检查全通过</t>
        </is>
      </c>
      <c r="F7" s="38" t="inlineStr">
        <is>
          <t>execution_results/2026-07-26-current/functional/</t>
        </is>
      </c>
    </row>
    <row r="8">
      <c r="A8" s="38" t="inlineStr">
        <is>
          <t>后端全量 pytest</t>
        </is>
      </c>
      <c r="B8" s="40" t="inlineStr">
        <is>
          <t>PASS</t>
        </is>
      </c>
      <c r="C8" s="38" t="inlineStr">
        <is>
          <t>1191/1232</t>
        </is>
      </c>
      <c r="D8" s="38" t="inlineStr">
        <is>
          <t>41</t>
        </is>
      </c>
      <c r="E8" s="38" t="inlineStr">
        <is>
          <t>启用集成后另有19条通过</t>
        </is>
      </c>
      <c r="F8" s="38" t="inlineStr">
        <is>
          <t>execution_results/2026-07-26-current/full-validation/</t>
        </is>
      </c>
    </row>
    <row r="9">
      <c r="A9" s="38" t="inlineStr">
        <is>
          <t>前端全量 Vitest</t>
        </is>
      </c>
      <c r="B9" s="40" t="inlineStr">
        <is>
          <t>PASS</t>
        </is>
      </c>
      <c r="C9" s="38" t="inlineStr">
        <is>
          <t>136/136</t>
        </is>
      </c>
      <c r="D9" s="38" t="inlineStr">
        <is>
          <t>0</t>
        </is>
      </c>
      <c r="E9" s="38" t="inlineStr">
        <is>
          <t>38个文件、136条测试</t>
        </is>
      </c>
      <c r="F9" s="38" t="inlineStr">
        <is>
          <t>execution_results/2026-07-26-current/full-validation/</t>
        </is>
      </c>
    </row>
    <row r="10">
      <c r="A10" s="38" t="inlineStr">
        <is>
          <t>MySQL/Redis 集成</t>
        </is>
      </c>
      <c r="B10" s="40" t="inlineStr">
        <is>
          <t>PASS</t>
        </is>
      </c>
      <c r="C10" s="38" t="inlineStr">
        <is>
          <t>19/19</t>
        </is>
      </c>
      <c r="D10" s="38" t="inlineStr">
        <is>
          <t>0</t>
        </is>
      </c>
      <c r="E10" s="38" t="inlineStr">
        <is>
          <t>含 ST-102、ST-103、迁移和认证授权</t>
        </is>
      </c>
      <c r="F10" s="38" t="inlineStr">
        <is>
          <t>execution_results/2026-07-26-current/full-validation/integration-junit.xml</t>
        </is>
      </c>
    </row>
    <row r="11">
      <c r="A11" s="38" t="inlineStr">
        <is>
          <t>前端 Lint/Build</t>
        </is>
      </c>
      <c r="B11" s="40" t="inlineStr">
        <is>
          <t>PASS</t>
        </is>
      </c>
      <c r="C11" s="38" t="inlineStr">
        <is>
          <t>2/2</t>
        </is>
      </c>
      <c r="D11" s="38" t="inlineStr">
        <is>
          <t>0</t>
        </is>
      </c>
      <c r="E11" s="38" t="inlineStr">
        <is>
          <t>ESLint + production build</t>
        </is>
      </c>
      <c r="F11" s="38" t="inlineStr">
        <is>
          <t>full-validation/03~04</t>
        </is>
      </c>
    </row>
    <row r="12">
      <c r="A12" s="38" t="inlineStr">
        <is>
          <t>确定性种子与核心 E2E</t>
        </is>
      </c>
      <c r="B12" s="40" t="inlineStr">
        <is>
          <t>PASS</t>
        </is>
      </c>
      <c r="C12" s="38" t="inlineStr">
        <is>
          <t>19/19</t>
        </is>
      </c>
      <c r="D12" s="38" t="inlineStr">
        <is>
          <t>0</t>
        </is>
      </c>
      <c r="E12" s="38" t="inlineStr">
        <is>
          <t>种子11 + Playwright 8</t>
        </is>
      </c>
      <c r="F12" s="38" t="inlineStr">
        <is>
          <t>acceptance/</t>
        </is>
      </c>
    </row>
    <row r="13">
      <c r="A13" s="38" t="inlineStr">
        <is>
          <t>黑盒冒烟</t>
        </is>
      </c>
      <c r="B13" s="40" t="inlineStr">
        <is>
          <t>PASS</t>
        </is>
      </c>
      <c r="C13" s="38" t="inlineStr">
        <is>
          <t>11/11</t>
        </is>
      </c>
      <c r="D13" s="38" t="inlineStr">
        <is>
          <t>0</t>
        </is>
      </c>
      <c r="E13" s="38" t="inlineStr">
        <is>
          <t>Nginx/API真实契约</t>
        </is>
      </c>
      <c r="F13" s="38" t="inlineStr">
        <is>
          <t>acceptance/03-smoke*.log</t>
        </is>
      </c>
    </row>
    <row r="14">
      <c r="A14" s="38" t="inlineStr">
        <is>
          <t>性能门禁</t>
        </is>
      </c>
      <c r="B14" s="40" t="inlineStr">
        <is>
          <t>PASS</t>
        </is>
      </c>
      <c r="C14" s="38" t="inlineStr">
        <is>
          <t>3/3</t>
        </is>
      </c>
      <c r="D14" s="38" t="inlineStr">
        <is>
          <t>0</t>
        </is>
      </c>
      <c r="E14" s="38" t="inlineStr">
        <is>
          <t>3910请求、0失败、P95达标</t>
        </is>
      </c>
      <c r="F14" s="38" t="inlineStr">
        <is>
          <t>performance/gate-result.*</t>
        </is>
      </c>
    </row>
    <row r="15">
      <c r="A15" s="38" t="inlineStr">
        <is>
          <t>恢复演练</t>
        </is>
      </c>
      <c r="B15" s="40" t="inlineStr">
        <is>
          <t>PASS</t>
        </is>
      </c>
      <c r="C15" s="38" t="inlineStr">
        <is>
          <t>4/4</t>
        </is>
      </c>
      <c r="D15" s="38" t="inlineStr">
        <is>
          <t>0</t>
        </is>
      </c>
      <c r="E15" s="38" t="inlineStr">
        <is>
          <t>备份/恢复/重建/回源</t>
        </is>
      </c>
      <c r="F15" s="38" t="inlineStr">
        <is>
          <t>recovery/summary.md</t>
        </is>
      </c>
    </row>
    <row r="16">
      <c r="A16" s="38" t="inlineStr">
        <is>
          <t>LoRA实际训练产物</t>
        </is>
      </c>
      <c r="B16" s="39" t="inlineStr">
        <is>
          <t>BLOCKED</t>
        </is>
      </c>
      <c r="C16" s="38" t="inlineStr">
        <is>
          <t>0/33</t>
        </is>
      </c>
      <c r="D16" s="38" t="inlineStr">
        <is>
          <t>33</t>
        </is>
      </c>
      <c r="E16" s="38" t="inlineStr">
        <is>
          <t>缺依赖与三组实际产物</t>
        </is>
      </c>
      <c r="F16" s="38" t="inlineStr">
        <is>
          <t>full-validation/backend-full-junit.xml</t>
        </is>
      </c>
    </row>
  </sheetData>
  <autoFilter ref="A5:F16"/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:G1"/>
    </sheetView>
  </sheetViews>
  <sheetFormatPr baseColWidth="8" defaultRowHeight="12"/>
  <cols>
    <col width="28.77734375" customWidth="1" style="2" min="1" max="1"/>
    <col width="30.77734375" customWidth="1" style="2" min="2" max="2"/>
    <col width="10.77734375" customWidth="1" style="2" min="3" max="3"/>
    <col width="8.77734375" customWidth="1" style="2" min="4" max="5"/>
    <col width="46.77734375" customWidth="1" style="2" min="6" max="6"/>
    <col width="16.77734375" customWidth="1" style="2" min="7" max="7"/>
    <col width="8.88671875" customWidth="1" style="2" min="8" max="16384"/>
  </cols>
  <sheetData>
    <row r="1" ht="22.2" customHeight="1" s="29">
      <c r="A1" s="3" t="inlineStr">
        <is>
          <t>测试模块汇总</t>
        </is>
      </c>
    </row>
    <row r="3">
      <c r="A3" s="6" t="inlineStr">
        <is>
          <t>总用例</t>
        </is>
      </c>
      <c r="B3" s="6">
        <f>COUNTA(测试用例清单!A7:A55)</f>
        <v/>
      </c>
      <c r="C3" s="6" t="inlineStr">
        <is>
          <t>P0</t>
        </is>
      </c>
      <c r="D3" s="6">
        <f>COUNTIF(测试用例清单!E7:E55,"P0")</f>
        <v/>
      </c>
      <c r="E3" s="6" t="inlineStr">
        <is>
          <t>P1</t>
        </is>
      </c>
      <c r="F3" s="6">
        <f>COUNTIF(测试用例清单!E7:E55,"P1")</f>
        <v/>
      </c>
    </row>
    <row r="5">
      <c r="A5" s="25" t="inlineStr">
        <is>
          <t>模块</t>
        </is>
      </c>
      <c r="B5" s="25" t="inlineStr">
        <is>
          <t>关联 Epic/Story</t>
        </is>
      </c>
      <c r="C5" s="25" t="inlineStr">
        <is>
          <t>用例数</t>
        </is>
      </c>
      <c r="D5" s="25" t="inlineStr">
        <is>
          <t>P0</t>
        </is>
      </c>
      <c r="E5" s="25" t="inlineStr">
        <is>
          <t>P1</t>
        </is>
      </c>
      <c r="F5" s="25" t="inlineStr">
        <is>
          <t>自动化与执行说明</t>
        </is>
      </c>
      <c r="G5" s="25" t="inlineStr">
        <is>
          <t>负责人/结果</t>
        </is>
      </c>
    </row>
    <row r="6" ht="24" customHeight="1" s="29">
      <c r="A6" s="22" t="inlineStr">
        <is>
          <t>认证、治理与资源权限</t>
        </is>
      </c>
      <c r="B6" s="22" t="inlineStr">
        <is>
          <t>EP-01 / ST-101、103</t>
        </is>
      </c>
      <c r="C6" s="26">
        <f>COUNTIF(测试用例清单!$D$7:$D$55,A6)</f>
        <v/>
      </c>
      <c r="D6" s="26">
        <f>COUNTIFS(测试用例清单!$D$7:$D$55,A6,测试用例清单!$E$7:$E$55,"P0")</f>
        <v/>
      </c>
      <c r="E6" s="26">
        <f>COUNTIFS(测试用例清单!$D$7:$D$55,A6,测试用例清单!$E$7:$E$55,"P1")</f>
        <v/>
      </c>
      <c r="F6" s="22" t="inlineStr">
        <is>
          <t>已有项目原生自动化证据；在发布候选基线复跑并回填结果</t>
        </is>
      </c>
      <c r="G6" s="22" t="inlineStr">
        <is>
          <t>未执行</t>
        </is>
      </c>
    </row>
    <row r="7" ht="24" customHeight="1" s="29">
      <c r="A7" s="22" t="inlineStr">
        <is>
          <t>知识库、文档与任务</t>
        </is>
      </c>
      <c r="B7" s="22" t="inlineStr">
        <is>
          <t>EP-01～02 / ST-102、201、202</t>
        </is>
      </c>
      <c r="C7" s="26">
        <f>COUNTIF(测试用例清单!$D$7:$D$55,A7)</f>
        <v/>
      </c>
      <c r="D7" s="26">
        <f>COUNTIFS(测试用例清单!$D$7:$D$55,A7,测试用例清单!$E$7:$E$55,"P0")</f>
        <v/>
      </c>
      <c r="E7" s="26">
        <f>COUNTIFS(测试用例清单!$D$7:$D$55,A7,测试用例清单!$E$7:$E$55,"P1")</f>
        <v/>
      </c>
      <c r="F7" s="22" t="inlineStr">
        <is>
          <t>已有项目原生自动化证据；在发布候选基线复跑并回填结果</t>
        </is>
      </c>
      <c r="G7" s="22" t="inlineStr">
        <is>
          <t>未执行</t>
        </is>
      </c>
    </row>
    <row r="8" ht="24" customHeight="1" s="29">
      <c r="A8" s="22" t="inlineStr">
        <is>
          <t>混合检索、RAG与流式协议</t>
        </is>
      </c>
      <c r="B8" s="22" t="inlineStr">
        <is>
          <t>EP-02～03 / ST-202、301、302</t>
        </is>
      </c>
      <c r="C8" s="26">
        <f>COUNTIF(测试用例清单!$D$7:$D$55,A8)</f>
        <v/>
      </c>
      <c r="D8" s="26">
        <f>COUNTIFS(测试用例清单!$D$7:$D$55,A8,测试用例清单!$E$7:$E$55,"P0")</f>
        <v/>
      </c>
      <c r="E8" s="26">
        <f>COUNTIFS(测试用例清单!$D$7:$D$55,A8,测试用例清单!$E$7:$E$55,"P1")</f>
        <v/>
      </c>
      <c r="F8" s="22" t="inlineStr">
        <is>
          <t>已有项目原生自动化证据；在发布候选基线复跑并回填结果</t>
        </is>
      </c>
      <c r="G8" s="22" t="inlineStr">
        <is>
          <t>未执行</t>
        </is>
      </c>
    </row>
    <row r="9" ht="24" customHeight="1" s="29">
      <c r="A9" s="22" t="inlineStr">
        <is>
          <t>商家口碑、点评与洞察</t>
        </is>
      </c>
      <c r="B9" s="22" t="inlineStr">
        <is>
          <t>EP-04、06 / ST-401、402、603</t>
        </is>
      </c>
      <c r="C9" s="26">
        <f>COUNTIF(测试用例清单!$D$7:$D$55,A9)</f>
        <v/>
      </c>
      <c r="D9" s="26">
        <f>COUNTIFS(测试用例清单!$D$7:$D$55,A9,测试用例清单!$E$7:$E$55,"P0")</f>
        <v/>
      </c>
      <c r="E9" s="26">
        <f>COUNTIFS(测试用例清单!$D$7:$D$55,A9,测试用例清单!$E$7:$E$55,"P1")</f>
        <v/>
      </c>
      <c r="F9" s="22" t="inlineStr">
        <is>
          <t>已有项目原生自动化证据；在发布候选基线复跑并回填结果</t>
        </is>
      </c>
      <c r="G9" s="22" t="inlineStr">
        <is>
          <t>未执行</t>
        </is>
      </c>
    </row>
    <row r="10" ht="24" customHeight="1" s="29">
      <c r="A10" s="22" t="inlineStr">
        <is>
          <t>反馈、数据集与模型治理</t>
        </is>
      </c>
      <c r="B10" s="22" t="inlineStr">
        <is>
          <t>EP-05 / ST-501、502</t>
        </is>
      </c>
      <c r="C10" s="26">
        <f>COUNTIF(测试用例清单!$D$7:$D$55,A10)</f>
        <v/>
      </c>
      <c r="D10" s="26">
        <f>COUNTIFS(测试用例清单!$D$7:$D$55,A10,测试用例清单!$E$7:$E$55,"P0")</f>
        <v/>
      </c>
      <c r="E10" s="26">
        <f>COUNTIFS(测试用例清单!$D$7:$D$55,A10,测试用例清单!$E$7:$E$55,"P1")</f>
        <v/>
      </c>
      <c r="F10" s="22" t="inlineStr">
        <is>
          <t>已有项目原生自动化证据；在发布候选基线复跑并回填结果</t>
        </is>
      </c>
      <c r="G10" s="22" t="inlineStr">
        <is>
          <t>未执行</t>
        </is>
      </c>
    </row>
    <row r="11" ht="24" customHeight="1" s="29">
      <c r="A11" s="22" t="inlineStr">
        <is>
          <t>前端路由、管理与体验</t>
        </is>
      </c>
      <c r="B11" s="22" t="inlineStr">
        <is>
          <t>EP-06 / ST-601、602</t>
        </is>
      </c>
      <c r="C11" s="26">
        <f>COUNTIF(测试用例清单!$D$7:$D$55,A11)</f>
        <v/>
      </c>
      <c r="D11" s="26">
        <f>COUNTIFS(测试用例清单!$D$7:$D$55,A11,测试用例清单!$E$7:$E$55,"P0")</f>
        <v/>
      </c>
      <c r="E11" s="26">
        <f>COUNTIFS(测试用例清单!$D$7:$D$55,A11,测试用例清单!$E$7:$E$55,"P1")</f>
        <v/>
      </c>
      <c r="F11" s="22" t="inlineStr">
        <is>
          <t>已有项目原生自动化证据；在发布候选基线复跑并回填结果</t>
        </is>
      </c>
      <c r="G11" s="22" t="inlineStr">
        <is>
          <t>未执行</t>
        </is>
      </c>
    </row>
    <row r="12" ht="24" customHeight="1" s="29">
      <c r="A12" s="22" t="inlineStr">
        <is>
          <t>部署、质量、验收与恢复</t>
        </is>
      </c>
      <c r="B12" s="22" t="inlineStr">
        <is>
          <t>EP-07 / ST-701～703</t>
        </is>
      </c>
      <c r="C12" s="26">
        <f>COUNTIF(测试用例清单!$D$7:$D$55,A12)</f>
        <v/>
      </c>
      <c r="D12" s="26">
        <f>COUNTIFS(测试用例清单!$D$7:$D$55,A12,测试用例清单!$E$7:$E$55,"P0")</f>
        <v/>
      </c>
      <c r="E12" s="26">
        <f>COUNTIFS(测试用例清单!$D$7:$D$55,A12,测试用例清单!$E$7:$E$55,"P1")</f>
        <v/>
      </c>
      <c r="F12" s="22" t="inlineStr">
        <is>
          <t>已有项目原生自动化证据；在发布候选基线复跑并回填结果</t>
        </is>
      </c>
      <c r="G12" s="22" t="inlineStr">
        <is>
          <t>未执行</t>
        </is>
      </c>
    </row>
    <row r="13">
      <c r="A13" s="23" t="inlineStr">
        <is>
          <t>合计</t>
        </is>
      </c>
      <c r="B13" s="23" t="n"/>
      <c r="C13" s="27">
        <f>SUM(C6:C12)</f>
        <v/>
      </c>
      <c r="D13" s="27">
        <f>SUM(D6:D12)</f>
        <v/>
      </c>
      <c r="E13" s="27">
        <f>SUM(E6:E12)</f>
        <v/>
      </c>
      <c r="F13" s="23" t="n"/>
      <c r="G13" s="23" t="n"/>
    </row>
  </sheetData>
  <mergeCells count="1">
    <mergeCell ref="A1:G1"/>
  </mergeCells>
  <printOptions horizontalCentered="1"/>
  <pageMargins left="0.35" right="0.35" top="0.5" bottom="0.5" header="0.3" footer="0.3"/>
  <pageSetup orientation="landscape" scale="84" horizontalDpi="360" verticalDpi="360"/>
  <headerFooter>
    <oddHeader/>
    <oddFooter>&amp;LLocalLife Copilot&amp;C第 &amp;P 页 / 共 &amp;N 页&amp;R2026-07-26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:F1"/>
    </sheetView>
  </sheetViews>
  <sheetFormatPr baseColWidth="8" defaultRowHeight="12"/>
  <cols>
    <col width="24.77734375" customWidth="1" style="2" min="1" max="1"/>
    <col width="96.77734375" customWidth="1" style="2" min="2" max="2"/>
    <col width="8.88671875" customWidth="1" style="2" min="3" max="16384"/>
  </cols>
  <sheetData>
    <row r="1" ht="22.2" customHeight="1" s="29">
      <c r="A1" s="3" t="inlineStr">
        <is>
          <t>测试代码与执行说明</t>
        </is>
      </c>
    </row>
    <row r="3">
      <c r="A3" s="24" t="inlineStr">
        <is>
          <t>项目</t>
        </is>
      </c>
      <c r="B3" s="24" t="inlineStr">
        <is>
          <t>内容</t>
        </is>
      </c>
    </row>
    <row r="4">
      <c r="A4" s="22" t="inlineStr">
        <is>
          <t>代码目录</t>
        </is>
      </c>
      <c r="B4" s="22" t="inlineStr">
        <is>
          <t>docs/测试用例文档/test_code</t>
        </is>
      </c>
    </row>
    <row r="5">
      <c r="A5" s="22" t="inlineStr">
        <is>
          <t>黑盒冒烟</t>
        </is>
      </c>
      <c r="B5" s="22" t="inlineStr">
        <is>
          <t>python -m pytest docs/测试用例文档/test_code/test_release_candidate_smoke.py -q</t>
        </is>
      </c>
    </row>
    <row r="6">
      <c r="A6" s="22" t="inlineStr">
        <is>
          <t>列出 AUTH 证据</t>
        </is>
      </c>
      <c r="B6" s="22" t="inlineStr">
        <is>
          <t>python docs/测试用例文档/test_code/run_project_test_cases.py AUTH --list</t>
        </is>
      </c>
    </row>
    <row r="7">
      <c r="A7" s="22" t="inlineStr">
        <is>
          <t>执行选定域</t>
        </is>
      </c>
      <c r="B7" s="22" t="inlineStr">
        <is>
          <t>python docs/测试用例文档/test_code/run_project_test_cases.py AUTH KB RAG</t>
        </is>
      </c>
    </row>
    <row r="8">
      <c r="A8" s="22" t="inlineStr">
        <is>
          <t>校验交付一致性</t>
        </is>
      </c>
      <c r="B8" s="22" t="inlineStr">
        <is>
          <t>python -m pytest docs/测试用例文档/test_code/test_delivery_consistency.py -q</t>
        </is>
      </c>
    </row>
    <row r="9">
      <c r="A9" s="22" t="inlineStr">
        <is>
          <t>列出全部证据</t>
        </is>
      </c>
      <c r="B9" s="22" t="inlineStr">
        <is>
          <t>python docs/测试用例文档/test_code/run_project_test_cases.py --all --list</t>
        </is>
      </c>
    </row>
    <row r="10">
      <c r="A10" s="22" t="inlineStr">
        <is>
          <t>PowerShell 入口</t>
        </is>
      </c>
      <c r="B10" s="22" t="inlineStr">
        <is>
          <t>.\docs\测试用例文档\test_code\run_selected_cases.ps1 -Group AUTH,KB,RAG</t>
        </is>
      </c>
    </row>
    <row r="11">
      <c r="A11" s="22" t="inlineStr">
        <is>
          <t>基础地址</t>
        </is>
      </c>
      <c r="B11" s="22" t="inlineStr">
        <is>
          <t>LOCAL_LIFE_BASE_URL，默认 http://127.0.0.1:3000</t>
        </is>
      </c>
    </row>
    <row r="12">
      <c r="A12" s="22" t="inlineStr">
        <is>
          <t>认证账号</t>
        </is>
      </c>
      <c r="B12" s="22" t="inlineStr">
        <is>
          <t>LOCAL_LIFE_TEST_USERNAME / LOCAL_LIFE_TEST_PASSWORD</t>
        </is>
      </c>
    </row>
    <row r="13">
      <c r="A13" s="22" t="inlineStr">
        <is>
          <t>检索知识库</t>
        </is>
      </c>
      <c r="B13" s="22" t="inlineStr">
        <is>
          <t>LOCAL_LIFE_TEST_KB_ID：当前账号有权访问的知识库 UUID</t>
        </is>
      </c>
    </row>
    <row r="14">
      <c r="A14" s="22" t="inlineStr">
        <is>
          <t>执行原则</t>
        </is>
      </c>
      <c r="B14" s="22" t="inlineStr">
        <is>
          <t>最终结果必须绑定发布候选 Commit；外部依赖缺失应记为阻塞或条件跳过，不得伪造通过。</t>
        </is>
      </c>
    </row>
    <row r="15">
      <c r="A15" s="22" t="inlineStr">
        <is>
          <t>性能门禁</t>
        </is>
      </c>
      <c r="B15" s="22" t="inlineStr">
        <is>
          <t>使用 scripts/run_tk703_performance.ps1，三项有足量样本且自动判定 PASS 才可关闭阻断。</t>
        </is>
      </c>
    </row>
    <row r="16">
      <c r="A16" s="22" t="inlineStr">
        <is>
          <t>恢复演练</t>
        </is>
      </c>
      <c r="B16" s="22" t="inlineStr">
        <is>
          <t>使用 scripts/run_tk703_recovery.ps1；精确确认目标环境，禁止覆盖事实库。</t>
        </is>
      </c>
    </row>
  </sheetData>
  <mergeCells count="1">
    <mergeCell ref="A1:F1"/>
  </mergeCells>
  <printOptions horizontalCentered="1"/>
  <pageMargins left="0.35" right="0.35" top="0.5" bottom="0.5" header="0.3" footer="0.3"/>
  <pageSetup orientation="landscape" horizontalDpi="360" verticalDpi="360"/>
  <headerFooter>
    <oddHeader/>
    <oddFooter>&amp;LLocalLife Copilot&amp;C第 &amp;P 页 / 共 &amp;N 页&amp;R2026-07-26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2"/>
  <cols>
    <col width="30.77734375" customWidth="1" style="2" min="1" max="1"/>
    <col width="13.77734375" customWidth="1" style="2" min="2" max="2"/>
    <col width="48.77734375" customWidth="1" style="2" min="3" max="3"/>
    <col width="18.77734375" customWidth="1" style="2" min="4" max="4"/>
    <col width="38.77734375" customWidth="1" style="2" min="5" max="5"/>
    <col width="58.77734375" customWidth="1" style="2" min="6" max="6"/>
    <col width="8.88671875" customWidth="1" style="2" min="7" max="16384"/>
  </cols>
  <sheetData>
    <row r="1" ht="22.2" customHeight="1" s="29">
      <c r="A1" s="3" t="inlineStr">
        <is>
          <t>既有测试与发布门禁证据</t>
        </is>
      </c>
    </row>
    <row r="3">
      <c r="A3" s="24" t="inlineStr">
        <is>
          <t>证据</t>
        </is>
      </c>
      <c r="B3" s="24" t="inlineStr">
        <is>
          <t>日期</t>
        </is>
      </c>
      <c r="C3" s="24" t="inlineStr">
        <is>
          <t>历史结果</t>
        </is>
      </c>
      <c r="D3" s="24" t="inlineStr">
        <is>
          <t>判定</t>
        </is>
      </c>
      <c r="E3" s="24" t="inlineStr">
        <is>
          <t>适用说明</t>
        </is>
      </c>
      <c r="F3" s="24" t="inlineStr">
        <is>
          <t>来源</t>
        </is>
      </c>
    </row>
    <row r="4" ht="24" customHeight="1" s="29">
      <c r="A4" s="22" t="inlineStr">
        <is>
          <t>TK-703-01 后端测试与覆盖率</t>
        </is>
      </c>
      <c r="B4" s="41" t="n">
        <v>46225</v>
      </c>
      <c r="C4" s="22" t="inlineStr">
        <is>
          <t>916通过、0失败、39跳过；语句79.00%，报告口径分支74.80%</t>
        </is>
      </c>
      <c r="D4" s="26" t="inlineStr">
        <is>
          <t>通过</t>
        </is>
      </c>
      <c r="E4" s="22" t="inlineStr">
        <is>
          <t>证明既有提交满足≥70%；最终 Commit 需复跑</t>
        </is>
      </c>
      <c r="F4" s="22" t="inlineStr">
        <is>
          <t>docs/reports/2026-07-22-TK-703-01后端测试与覆盖率报告.md</t>
        </is>
      </c>
    </row>
    <row r="5" ht="24" customHeight="1" s="29">
      <c r="A5" s="22" t="inlineStr">
        <is>
          <t>TK-703-02 安全专项</t>
        </is>
      </c>
      <c r="B5" s="41" t="n">
        <v>46225</v>
      </c>
      <c r="C5" s="22" t="inlineStr">
        <is>
          <t>专项79通过、2条件跳过；后续完整回归932通过、39跳过、0失败</t>
        </is>
      </c>
      <c r="D5" s="26" t="inlineStr">
        <is>
          <t>通过</t>
        </is>
      </c>
      <c r="E5" s="22" t="inlineStr">
        <is>
          <t>安全控制已有自动化证据</t>
        </is>
      </c>
      <c r="F5" s="22" t="inlineStr">
        <is>
          <t>docs/reports/2026-07-22-TK-703-02安全专项验收报告.md</t>
        </is>
      </c>
    </row>
    <row r="6">
      <c r="A6" s="22" t="inlineStr">
        <is>
          <t>TK-702-03 全新环境三轮</t>
        </is>
      </c>
      <c r="B6" s="41" t="n">
        <v>46225</v>
      </c>
      <c r="C6" s="22" t="inlineStr">
        <is>
          <t>3/3轮通过；每轮Playwright 10/10</t>
        </is>
      </c>
      <c r="D6" s="26" t="inlineStr">
        <is>
          <t>通过</t>
        </is>
      </c>
      <c r="E6" s="22" t="inlineStr">
        <is>
          <t>确定性演示链路可复演</t>
        </is>
      </c>
      <c r="F6" s="22" t="inlineStr">
        <is>
          <t>docs/reports/2026-07-22-TK-702-03全新环境回归报告.md</t>
        </is>
      </c>
    </row>
    <row r="7" ht="24" customHeight="1" s="29">
      <c r="A7" s="22" t="inlineStr">
        <is>
          <t>TK-703-04 恢复演练</t>
        </is>
      </c>
      <c r="B7" s="41" t="n">
        <v>46225</v>
      </c>
      <c r="C7" s="22" t="inlineStr">
        <is>
          <t>专项11通过；31张表恢复一致；索引差异0；Redis回源成功</t>
        </is>
      </c>
      <c r="D7" s="26" t="inlineStr">
        <is>
          <t>通过</t>
        </is>
      </c>
      <c r="E7" s="22" t="inlineStr">
        <is>
          <t>真实 Compose 恢复与对账证据</t>
        </is>
      </c>
      <c r="F7" s="22" t="inlineStr">
        <is>
          <t>docs/reports/2026-07-22-TK-703-04存储对账与恢复演练报告.md</t>
        </is>
      </c>
    </row>
    <row r="8">
      <c r="A8" s="22" t="inlineStr">
        <is>
          <t>TK-703-03 性能门禁</t>
        </is>
      </c>
      <c r="B8" s="41" t="n">
        <v>46225</v>
      </c>
      <c r="C8" s="22" t="inlineStr">
        <is>
          <t>三项0样本，P95 N/A</t>
        </is>
      </c>
      <c r="D8" s="26" t="inlineStr">
        <is>
          <t>阻断</t>
        </is>
      </c>
      <c r="E8" s="22" t="inlineStr">
        <is>
          <t>必须补充目标环境真实HTTP链路样本</t>
        </is>
      </c>
      <c r="F8" s="22" t="inlineStr">
        <is>
          <t>docs/reports/2026-07-22-TK-703-03-Locust性能门禁报告.md</t>
        </is>
      </c>
    </row>
    <row r="9">
      <c r="A9" s="22" t="inlineStr">
        <is>
          <t>TK-703-05 发布门禁</t>
        </is>
      </c>
      <c r="B9" s="41" t="n">
        <v>46225</v>
      </c>
      <c r="C9" s="22" t="inlineStr">
        <is>
          <t>GATE-703-P0-001 OPEN / BLOCKING</t>
        </is>
      </c>
      <c r="D9" s="26" t="inlineStr">
        <is>
          <t>NOT APPROVED</t>
        </is>
      </c>
      <c r="E9" s="22" t="inlineStr">
        <is>
          <t>性能阻断关闭前禁止发布</t>
        </is>
      </c>
      <c r="F9" s="22" t="inlineStr">
        <is>
          <t>docs/reports/2026-07-22-TK-703-05发布门禁验收记录.md</t>
        </is>
      </c>
    </row>
  </sheetData>
  <mergeCells count="1">
    <mergeCell ref="A1:F1"/>
  </mergeCells>
  <printOptions horizontalCentered="1"/>
  <pageMargins left="0.35" right="0.35" top="0.5" bottom="0.5" header="0.3" footer="0.3"/>
  <pageSetup orientation="landscape" scale="60" horizontalDpi="360" verticalDpi="360"/>
  <headerFooter>
    <oddHeader/>
    <oddFooter>&amp;LLocalLife Copilot&amp;C第 &amp;P 页 / 共 &amp;N 页&amp;R2026-07-26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H180880@365mmt.com</dc:creator>
  <dcterms:created xmlns:dcterms="http://purl.org/dc/terms/" xmlns:xsi="http://www.w3.org/2001/XMLSchema-instance" xsi:type="dcterms:W3CDTF">2026-07-26T02:46:41Z</dcterms:created>
  <dcterms:modified xmlns:dcterms="http://purl.org/dc/terms/" xmlns:xsi="http://www.w3.org/2001/XMLSchema-instance" xsi:type="dcterms:W3CDTF">2026-07-26T04:57:21Z</dcterms:modified>
  <cp:lastModifiedBy>H180880@365mmt.com</cp:lastModifiedBy>
</cp:coreProperties>
</file>